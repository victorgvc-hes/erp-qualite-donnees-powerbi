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Power BI Project\donees\"/>
    </mc:Choice>
  </mc:AlternateContent>
  <xr:revisionPtr revIDLastSave="0" documentId="13_ncr:1_{4917ACDC-D8E7-4C27-89B4-C5F517AEEA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mandes_achat" sheetId="1" r:id="rId1"/>
    <sheet name="Fournisseurs" sheetId="2" r:id="rId2"/>
    <sheet name="Articles" sheetId="3" r:id="rId3"/>
    <sheet name="Inventaire" sheetId="4" r:id="rId4"/>
    <sheet name="Dictionnair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1" i="1" l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O480" i="1"/>
  <c r="N480" i="1"/>
  <c r="M480" i="1"/>
  <c r="O479" i="1"/>
  <c r="N479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O404" i="1"/>
  <c r="N404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O399" i="1"/>
  <c r="N399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O394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N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O355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O345" i="1"/>
  <c r="N345" i="1"/>
  <c r="M345" i="1"/>
  <c r="O344" i="1"/>
  <c r="N344" i="1"/>
  <c r="M344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O278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O212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O194" i="1"/>
  <c r="N194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O134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<sst xmlns="http://schemas.openxmlformats.org/spreadsheetml/2006/main" count="4735" uniqueCount="754">
  <si>
    <t>ID_Commande</t>
  </si>
  <si>
    <t>Date_Commande</t>
  </si>
  <si>
    <t>ID_Fournisseur</t>
  </si>
  <si>
    <t>ID_Article</t>
  </si>
  <si>
    <t>Usine</t>
  </si>
  <si>
    <t>Quantite</t>
  </si>
  <si>
    <t>Prix_Unitaire</t>
  </si>
  <si>
    <t>Date_Livraison_Prevue</t>
  </si>
  <si>
    <t>Date_Livraison_Reelle</t>
  </si>
  <si>
    <t>Statut_Commande</t>
  </si>
  <si>
    <t>Devise</t>
  </si>
  <si>
    <t>Acheteur</t>
  </si>
  <si>
    <t>Valeur_Commande</t>
  </si>
  <si>
    <t>Delai_Livraison_Jours</t>
  </si>
  <si>
    <t>Ecart_Prix</t>
  </si>
  <si>
    <t>Source_Systeme</t>
  </si>
  <si>
    <t>PO202600001</t>
  </si>
  <si>
    <t>F014</t>
  </si>
  <si>
    <t>A0003</t>
  </si>
  <si>
    <t>MTL-01</t>
  </si>
  <si>
    <t>Fermée</t>
  </si>
  <si>
    <t>CAD</t>
  </si>
  <si>
    <t>V. Lavoie</t>
  </si>
  <si>
    <t>Manuel</t>
  </si>
  <si>
    <t>PO202600002</t>
  </si>
  <si>
    <t>F004</t>
  </si>
  <si>
    <t>A0021</t>
  </si>
  <si>
    <t>TRV-02</t>
  </si>
  <si>
    <t>M. Gagnon</t>
  </si>
  <si>
    <t>SAP</t>
  </si>
  <si>
    <t>PO202600003</t>
  </si>
  <si>
    <t>F013</t>
  </si>
  <si>
    <t>A0027</t>
  </si>
  <si>
    <t>S. Côté</t>
  </si>
  <si>
    <t>Excel</t>
  </si>
  <si>
    <t>PO202600004</t>
  </si>
  <si>
    <t>A0014</t>
  </si>
  <si>
    <t>QC-01</t>
  </si>
  <si>
    <t>PO202600005</t>
  </si>
  <si>
    <t>F003</t>
  </si>
  <si>
    <t>A0043</t>
  </si>
  <si>
    <t>Ouverte</t>
  </si>
  <si>
    <t>PO202600006</t>
  </si>
  <si>
    <t>F007</t>
  </si>
  <si>
    <t>A0015</t>
  </si>
  <si>
    <t>J. Bouchard</t>
  </si>
  <si>
    <t>PO202600007</t>
  </si>
  <si>
    <t>A0032</t>
  </si>
  <si>
    <t>A. Tremblay</t>
  </si>
  <si>
    <t>PO202600008</t>
  </si>
  <si>
    <t>F008</t>
  </si>
  <si>
    <t>A0036</t>
  </si>
  <si>
    <t>Annulée</t>
  </si>
  <si>
    <t>PO202600009</t>
  </si>
  <si>
    <t>A0033</t>
  </si>
  <si>
    <t>PO202600010</t>
  </si>
  <si>
    <t>TRV-01</t>
  </si>
  <si>
    <t>PO202600011</t>
  </si>
  <si>
    <t>F914</t>
  </si>
  <si>
    <t>A0010</t>
  </si>
  <si>
    <t>PO202600012</t>
  </si>
  <si>
    <t>A0004</t>
  </si>
  <si>
    <t>Partiellement reçue</t>
  </si>
  <si>
    <t>PO202600013</t>
  </si>
  <si>
    <t>F012</t>
  </si>
  <si>
    <t>A0001</t>
  </si>
  <si>
    <t>PO202600014</t>
  </si>
  <si>
    <t>F009</t>
  </si>
  <si>
    <t>PO202600015</t>
  </si>
  <si>
    <t>A0035</t>
  </si>
  <si>
    <t>PO202600016</t>
  </si>
  <si>
    <t>PO202600017</t>
  </si>
  <si>
    <t>F016</t>
  </si>
  <si>
    <t>A0006</t>
  </si>
  <si>
    <t>PO202600018</t>
  </si>
  <si>
    <t>F019</t>
  </si>
  <si>
    <t>A0016</t>
  </si>
  <si>
    <t>PO202600019</t>
  </si>
  <si>
    <t>A0045</t>
  </si>
  <si>
    <t>PO202600020</t>
  </si>
  <si>
    <t>F001</t>
  </si>
  <si>
    <t>A0038</t>
  </si>
  <si>
    <t>PO202600021</t>
  </si>
  <si>
    <t>F010</t>
  </si>
  <si>
    <t>PO202600022</t>
  </si>
  <si>
    <t>F011</t>
  </si>
  <si>
    <t>PO202600023</t>
  </si>
  <si>
    <t>F006</t>
  </si>
  <si>
    <t>A0028</t>
  </si>
  <si>
    <t>PO202600024</t>
  </si>
  <si>
    <t>PO202600025</t>
  </si>
  <si>
    <t>PO202600026</t>
  </si>
  <si>
    <t>PO202600027</t>
  </si>
  <si>
    <t>A0026</t>
  </si>
  <si>
    <t>PO202600028</t>
  </si>
  <si>
    <t>F015</t>
  </si>
  <si>
    <t>PO202600029</t>
  </si>
  <si>
    <t>PO202600030</t>
  </si>
  <si>
    <t>A0024</t>
  </si>
  <si>
    <t>PO202600031</t>
  </si>
  <si>
    <t>A0041</t>
  </si>
  <si>
    <t>PO202600032</t>
  </si>
  <si>
    <t>A0031</t>
  </si>
  <si>
    <t>PO202600033</t>
  </si>
  <si>
    <t>A9424</t>
  </si>
  <si>
    <t>PO202600034</t>
  </si>
  <si>
    <t>PO202600035</t>
  </si>
  <si>
    <t>PO202600036</t>
  </si>
  <si>
    <t>PO202600037</t>
  </si>
  <si>
    <t>F018</t>
  </si>
  <si>
    <t>A0008</t>
  </si>
  <si>
    <t>PO202600038</t>
  </si>
  <si>
    <t>A0037</t>
  </si>
  <si>
    <t>PO202600039</t>
  </si>
  <si>
    <t>F020</t>
  </si>
  <si>
    <t>PO202600040</t>
  </si>
  <si>
    <t>PO202600041</t>
  </si>
  <si>
    <t>PO202600042</t>
  </si>
  <si>
    <t>PO202600043</t>
  </si>
  <si>
    <t>PO202600044</t>
  </si>
  <si>
    <t>PO202600045</t>
  </si>
  <si>
    <t>A0020</t>
  </si>
  <si>
    <t>PO202600046</t>
  </si>
  <si>
    <t>F017</t>
  </si>
  <si>
    <t>A9562</t>
  </si>
  <si>
    <t>PO202600047</t>
  </si>
  <si>
    <t>A0039</t>
  </si>
  <si>
    <t>PO202600048</t>
  </si>
  <si>
    <t>A0018</t>
  </si>
  <si>
    <t>PO202600049</t>
  </si>
  <si>
    <t>A0022</t>
  </si>
  <si>
    <t>PO202600050</t>
  </si>
  <si>
    <t>F002</t>
  </si>
  <si>
    <t>PO202600051</t>
  </si>
  <si>
    <t>F992</t>
  </si>
  <si>
    <t>PO202600052</t>
  </si>
  <si>
    <t>PO202600053</t>
  </si>
  <si>
    <t>A9250</t>
  </si>
  <si>
    <t>PO202600054</t>
  </si>
  <si>
    <t>PO202600055</t>
  </si>
  <si>
    <t>PO202600056</t>
  </si>
  <si>
    <t>A0012</t>
  </si>
  <si>
    <t>PO202600057</t>
  </si>
  <si>
    <t>PO202600058</t>
  </si>
  <si>
    <t>PO202600059</t>
  </si>
  <si>
    <t>A0007</t>
  </si>
  <si>
    <t>PO202600060</t>
  </si>
  <si>
    <t>PO202600061</t>
  </si>
  <si>
    <t>A0023</t>
  </si>
  <si>
    <t>PO202600062</t>
  </si>
  <si>
    <t>A0029</t>
  </si>
  <si>
    <t>PO202600063</t>
  </si>
  <si>
    <t>PO202600064</t>
  </si>
  <si>
    <t>PO202600065</t>
  </si>
  <si>
    <t>PO202600066</t>
  </si>
  <si>
    <t>A0044</t>
  </si>
  <si>
    <t>PO202600067</t>
  </si>
  <si>
    <t>PO202600068</t>
  </si>
  <si>
    <t>F005</t>
  </si>
  <si>
    <t>PO202600069</t>
  </si>
  <si>
    <t>PO202600070</t>
  </si>
  <si>
    <t>PO202600071</t>
  </si>
  <si>
    <t>PO202600072</t>
  </si>
  <si>
    <t>PO202600073</t>
  </si>
  <si>
    <t>PO202600074</t>
  </si>
  <si>
    <t>PO202600075</t>
  </si>
  <si>
    <t>PO202600076</t>
  </si>
  <si>
    <t>PO202600077</t>
  </si>
  <si>
    <t>PO202600078</t>
  </si>
  <si>
    <t>PO202600079</t>
  </si>
  <si>
    <t>PO202600080</t>
  </si>
  <si>
    <t>PO202600081</t>
  </si>
  <si>
    <t>PO202600082</t>
  </si>
  <si>
    <t>A0019</t>
  </si>
  <si>
    <t>PO202600083</t>
  </si>
  <si>
    <t>PO202600084</t>
  </si>
  <si>
    <t>PO202600085</t>
  </si>
  <si>
    <t>PO202600086</t>
  </si>
  <si>
    <t>PO202600087</t>
  </si>
  <si>
    <t>PO202600088</t>
  </si>
  <si>
    <t>PO202600089</t>
  </si>
  <si>
    <t>PO202600090</t>
  </si>
  <si>
    <t>PO202600091</t>
  </si>
  <si>
    <t>PO202600092</t>
  </si>
  <si>
    <t>PO202600093</t>
  </si>
  <si>
    <t>PO202600094</t>
  </si>
  <si>
    <t>A0011</t>
  </si>
  <si>
    <t>PO202600095</t>
  </si>
  <si>
    <t>PO202600096</t>
  </si>
  <si>
    <t>PO202600097</t>
  </si>
  <si>
    <t>A0005</t>
  </si>
  <si>
    <t>PO202600098</t>
  </si>
  <si>
    <t>PO202600099</t>
  </si>
  <si>
    <t>PO202600100</t>
  </si>
  <si>
    <t>PO202600101</t>
  </si>
  <si>
    <t>A9163</t>
  </si>
  <si>
    <t>PO202600102</t>
  </si>
  <si>
    <t>PO202600103</t>
  </si>
  <si>
    <t>PO202600104</t>
  </si>
  <si>
    <t>PO202600105</t>
  </si>
  <si>
    <t>PO202600106</t>
  </si>
  <si>
    <t>PO202600107</t>
  </si>
  <si>
    <t>A0025</t>
  </si>
  <si>
    <t>PO202600108</t>
  </si>
  <si>
    <t>PO202600109</t>
  </si>
  <si>
    <t>PO202600110</t>
  </si>
  <si>
    <t>A0009</t>
  </si>
  <si>
    <t>PO202600111</t>
  </si>
  <si>
    <t>PO202600112</t>
  </si>
  <si>
    <t>A0002</t>
  </si>
  <si>
    <t>PO202600113</t>
  </si>
  <si>
    <t>PO202600114</t>
  </si>
  <si>
    <t>A0040</t>
  </si>
  <si>
    <t>PO202600115</t>
  </si>
  <si>
    <t>PO202600116</t>
  </si>
  <si>
    <t>PO202600117</t>
  </si>
  <si>
    <t>A9546</t>
  </si>
  <si>
    <t>PO202600118</t>
  </si>
  <si>
    <t>PO202600119</t>
  </si>
  <si>
    <t>PO202600120</t>
  </si>
  <si>
    <t>PO202600121</t>
  </si>
  <si>
    <t>PO202600122</t>
  </si>
  <si>
    <t>A0042</t>
  </si>
  <si>
    <t>PO202600123</t>
  </si>
  <si>
    <t>PO202600124</t>
  </si>
  <si>
    <t>PO202600125</t>
  </si>
  <si>
    <t>PO202600126</t>
  </si>
  <si>
    <t>PO202600127</t>
  </si>
  <si>
    <t>PO202600128</t>
  </si>
  <si>
    <t>PO202600129</t>
  </si>
  <si>
    <t>PO202600130</t>
  </si>
  <si>
    <t>PO202600131</t>
  </si>
  <si>
    <t>F937</t>
  </si>
  <si>
    <t>PO202600132</t>
  </si>
  <si>
    <t>PO202600133</t>
  </si>
  <si>
    <t>PO202600134</t>
  </si>
  <si>
    <t>PO202600135</t>
  </si>
  <si>
    <t>PO202600136</t>
  </si>
  <si>
    <t>PO202600137</t>
  </si>
  <si>
    <t>A0017</t>
  </si>
  <si>
    <t>PO202600138</t>
  </si>
  <si>
    <t>PO202600139</t>
  </si>
  <si>
    <t>PO202600140</t>
  </si>
  <si>
    <t>PO202600141</t>
  </si>
  <si>
    <t>PO202600142</t>
  </si>
  <si>
    <t>PO202600143</t>
  </si>
  <si>
    <t>PO202600144</t>
  </si>
  <si>
    <t>PO202600145</t>
  </si>
  <si>
    <t>PO202600146</t>
  </si>
  <si>
    <t>PO202600147</t>
  </si>
  <si>
    <t>PO202600148</t>
  </si>
  <si>
    <t>PO202600149</t>
  </si>
  <si>
    <t>PO202600150</t>
  </si>
  <si>
    <t>PO202600151</t>
  </si>
  <si>
    <t>PO202600152</t>
  </si>
  <si>
    <t>PO202600153</t>
  </si>
  <si>
    <t>PO202600154</t>
  </si>
  <si>
    <t>PO202600155</t>
  </si>
  <si>
    <t>PO202600156</t>
  </si>
  <si>
    <t>PO202600157</t>
  </si>
  <si>
    <t>PO202600158</t>
  </si>
  <si>
    <t>PO202600159</t>
  </si>
  <si>
    <t>PO202600160</t>
  </si>
  <si>
    <t>A9636</t>
  </si>
  <si>
    <t>PO202600161</t>
  </si>
  <si>
    <t>PO202600162</t>
  </si>
  <si>
    <t>PO202600163</t>
  </si>
  <si>
    <t>PO202600164</t>
  </si>
  <si>
    <t>PO202600165</t>
  </si>
  <si>
    <t>PO202600166</t>
  </si>
  <si>
    <t>PO202600167</t>
  </si>
  <si>
    <t>PO202600168</t>
  </si>
  <si>
    <t>PO202600169</t>
  </si>
  <si>
    <t>PO202600170</t>
  </si>
  <si>
    <t>PO202600171</t>
  </si>
  <si>
    <t>PO202600172</t>
  </si>
  <si>
    <t>PO202600173</t>
  </si>
  <si>
    <t>PO202600174</t>
  </si>
  <si>
    <t>PO202600175</t>
  </si>
  <si>
    <t>PO202600176</t>
  </si>
  <si>
    <t>PO202600177</t>
  </si>
  <si>
    <t>PO202600178</t>
  </si>
  <si>
    <t>PO202600179</t>
  </si>
  <si>
    <t>PO202600180</t>
  </si>
  <si>
    <t>F952</t>
  </si>
  <si>
    <t>PO202600181</t>
  </si>
  <si>
    <t>PO202600182</t>
  </si>
  <si>
    <t>PO202600183</t>
  </si>
  <si>
    <t>PO202600184</t>
  </si>
  <si>
    <t>PO202600185</t>
  </si>
  <si>
    <t>PO202600186</t>
  </si>
  <si>
    <t>PO202600187</t>
  </si>
  <si>
    <t>PO202600188</t>
  </si>
  <si>
    <t>PO202600189</t>
  </si>
  <si>
    <t>A0013</t>
  </si>
  <si>
    <t>PO202600190</t>
  </si>
  <si>
    <t>PO202600191</t>
  </si>
  <si>
    <t>PO202600192</t>
  </si>
  <si>
    <t>F984</t>
  </si>
  <si>
    <t>PO202600193</t>
  </si>
  <si>
    <t>PO202600194</t>
  </si>
  <si>
    <t>PO202600195</t>
  </si>
  <si>
    <t>PO202600196</t>
  </si>
  <si>
    <t>PO202600197</t>
  </si>
  <si>
    <t>PO202600198</t>
  </si>
  <si>
    <t>PO202600199</t>
  </si>
  <si>
    <t>PO202600200</t>
  </si>
  <si>
    <t>PO202600201</t>
  </si>
  <si>
    <t>PO202600202</t>
  </si>
  <si>
    <t>PO202600203</t>
  </si>
  <si>
    <t>PO202600204</t>
  </si>
  <si>
    <t>PO202600205</t>
  </si>
  <si>
    <t>PO202600206</t>
  </si>
  <si>
    <t>PO202600207</t>
  </si>
  <si>
    <t>PO202600208</t>
  </si>
  <si>
    <t>PO202600209</t>
  </si>
  <si>
    <t>PO202600210</t>
  </si>
  <si>
    <t>A0034</t>
  </si>
  <si>
    <t>PO202600211</t>
  </si>
  <si>
    <t>PO202600212</t>
  </si>
  <si>
    <t>PO202600213</t>
  </si>
  <si>
    <t>A9411</t>
  </si>
  <si>
    <t>PO202600214</t>
  </si>
  <si>
    <t>PO202600215</t>
  </si>
  <si>
    <t>PO202600216</t>
  </si>
  <si>
    <t>PO202600217</t>
  </si>
  <si>
    <t>PO202600218</t>
  </si>
  <si>
    <t>PO202600219</t>
  </si>
  <si>
    <t>PO202600220</t>
  </si>
  <si>
    <t>PO202600221</t>
  </si>
  <si>
    <t>F917</t>
  </si>
  <si>
    <t>PO202600222</t>
  </si>
  <si>
    <t>PO202600223</t>
  </si>
  <si>
    <t>PO202600224</t>
  </si>
  <si>
    <t>PO202600225</t>
  </si>
  <si>
    <t>PO202600226</t>
  </si>
  <si>
    <t>PO202600227</t>
  </si>
  <si>
    <t>PO202600228</t>
  </si>
  <si>
    <t>PO202600229</t>
  </si>
  <si>
    <t>PO202600230</t>
  </si>
  <si>
    <t>PO202600231</t>
  </si>
  <si>
    <t>PO202600232</t>
  </si>
  <si>
    <t>PO202600233</t>
  </si>
  <si>
    <t>PO202600234</t>
  </si>
  <si>
    <t>PO202600235</t>
  </si>
  <si>
    <t>PO202600236</t>
  </si>
  <si>
    <t>PO202600237</t>
  </si>
  <si>
    <t>PO202600238</t>
  </si>
  <si>
    <t>PO202600239</t>
  </si>
  <si>
    <t>PO202600240</t>
  </si>
  <si>
    <t>PO202600241</t>
  </si>
  <si>
    <t>PO202600242</t>
  </si>
  <si>
    <t>PO202600243</t>
  </si>
  <si>
    <t>PO202600244</t>
  </si>
  <si>
    <t>PO202600245</t>
  </si>
  <si>
    <t>PO202600246</t>
  </si>
  <si>
    <t>A9245</t>
  </si>
  <si>
    <t>PO202600247</t>
  </si>
  <si>
    <t>PO202600248</t>
  </si>
  <si>
    <t>PO202600249</t>
  </si>
  <si>
    <t>PO202600250</t>
  </si>
  <si>
    <t>PO202600251</t>
  </si>
  <si>
    <t>PO202600252</t>
  </si>
  <si>
    <t>PO202600253</t>
  </si>
  <si>
    <t>PO202600254</t>
  </si>
  <si>
    <t>PO202600255</t>
  </si>
  <si>
    <t>PO202600256</t>
  </si>
  <si>
    <t>PO202600257</t>
  </si>
  <si>
    <t>PO202600258</t>
  </si>
  <si>
    <t>PO202600259</t>
  </si>
  <si>
    <t>PO202600260</t>
  </si>
  <si>
    <t>PO202600261</t>
  </si>
  <si>
    <t>PO202600262</t>
  </si>
  <si>
    <t>PO202600263</t>
  </si>
  <si>
    <t>PO202600264</t>
  </si>
  <si>
    <t>PO202600265</t>
  </si>
  <si>
    <t>PO202600266</t>
  </si>
  <si>
    <t>A0030</t>
  </si>
  <si>
    <t>PO202600267</t>
  </si>
  <si>
    <t>PO202600268</t>
  </si>
  <si>
    <t>PO202600269</t>
  </si>
  <si>
    <t>PO202600270</t>
  </si>
  <si>
    <t>PO202600271</t>
  </si>
  <si>
    <t>PO202600272</t>
  </si>
  <si>
    <t>F962</t>
  </si>
  <si>
    <t>PO202600273</t>
  </si>
  <si>
    <t>PO202600274</t>
  </si>
  <si>
    <t>PO202600275</t>
  </si>
  <si>
    <t>PO202600276</t>
  </si>
  <si>
    <t>PO202600277</t>
  </si>
  <si>
    <t>A9394</t>
  </si>
  <si>
    <t>PO202600278</t>
  </si>
  <si>
    <t>PO202600279</t>
  </si>
  <si>
    <t>PO202600280</t>
  </si>
  <si>
    <t>PO202600281</t>
  </si>
  <si>
    <t>PO202600282</t>
  </si>
  <si>
    <t>PO202600283</t>
  </si>
  <si>
    <t>PO202600284</t>
  </si>
  <si>
    <t>PO202600285</t>
  </si>
  <si>
    <t>PO202600286</t>
  </si>
  <si>
    <t>PO202600287</t>
  </si>
  <si>
    <t>PO202600288</t>
  </si>
  <si>
    <t>PO202600289</t>
  </si>
  <si>
    <t>PO202600290</t>
  </si>
  <si>
    <t>PO202600291</t>
  </si>
  <si>
    <t>PO202600292</t>
  </si>
  <si>
    <t>PO202600293</t>
  </si>
  <si>
    <t>PO202600294</t>
  </si>
  <si>
    <t>PO202600295</t>
  </si>
  <si>
    <t>PO202600296</t>
  </si>
  <si>
    <t>PO202600297</t>
  </si>
  <si>
    <t>PO202600298</t>
  </si>
  <si>
    <t>PO202600299</t>
  </si>
  <si>
    <t>PO202600300</t>
  </si>
  <si>
    <t>PO202600301</t>
  </si>
  <si>
    <t>PO202600302</t>
  </si>
  <si>
    <t>PO202600303</t>
  </si>
  <si>
    <t>PO202600304</t>
  </si>
  <si>
    <t>PO202600305</t>
  </si>
  <si>
    <t>PO202600306</t>
  </si>
  <si>
    <t>PO202600307</t>
  </si>
  <si>
    <t>PO202600308</t>
  </si>
  <si>
    <t>PO202600309</t>
  </si>
  <si>
    <t>F966</t>
  </si>
  <si>
    <t>PO202600310</t>
  </si>
  <si>
    <t>PO202600311</t>
  </si>
  <si>
    <t>PO202600312</t>
  </si>
  <si>
    <t>PO202600313</t>
  </si>
  <si>
    <t>F972</t>
  </si>
  <si>
    <t>PO202600314</t>
  </si>
  <si>
    <t>PO202600315</t>
  </si>
  <si>
    <t>PO202600316</t>
  </si>
  <si>
    <t>PO202600317</t>
  </si>
  <si>
    <t>PO202600318</t>
  </si>
  <si>
    <t>PO202600319</t>
  </si>
  <si>
    <t>PO202600320</t>
  </si>
  <si>
    <t>PO202600321</t>
  </si>
  <si>
    <t>PO202600322</t>
  </si>
  <si>
    <t>PO202600323</t>
  </si>
  <si>
    <t>PO202600324</t>
  </si>
  <si>
    <t>PO202600325</t>
  </si>
  <si>
    <t>PO202600326</t>
  </si>
  <si>
    <t>PO202600327</t>
  </si>
  <si>
    <t>PO202600328</t>
  </si>
  <si>
    <t>F960</t>
  </si>
  <si>
    <t>PO202600329</t>
  </si>
  <si>
    <t>PO202600330</t>
  </si>
  <si>
    <t>PO202600331</t>
  </si>
  <si>
    <t>PO202600332</t>
  </si>
  <si>
    <t>PO202600333</t>
  </si>
  <si>
    <t>PO202600334</t>
  </si>
  <si>
    <t>PO202600335</t>
  </si>
  <si>
    <t>PO202600336</t>
  </si>
  <si>
    <t>PO202600337</t>
  </si>
  <si>
    <t>A9494</t>
  </si>
  <si>
    <t>PO202600338</t>
  </si>
  <si>
    <t>PO202600339</t>
  </si>
  <si>
    <t>PO202600340</t>
  </si>
  <si>
    <t>PO202600341</t>
  </si>
  <si>
    <t>PO202600342</t>
  </si>
  <si>
    <t>PO202600343</t>
  </si>
  <si>
    <t>PO202600344</t>
  </si>
  <si>
    <t>PO202600345</t>
  </si>
  <si>
    <t>F910</t>
  </si>
  <si>
    <t>PO202600346</t>
  </si>
  <si>
    <t>PO202600347</t>
  </si>
  <si>
    <t>PO202600348</t>
  </si>
  <si>
    <t>PO202600349</t>
  </si>
  <si>
    <t>PO202600350</t>
  </si>
  <si>
    <t>PO202600351</t>
  </si>
  <si>
    <t>A9473</t>
  </si>
  <si>
    <t>PO202600352</t>
  </si>
  <si>
    <t>PO202600353</t>
  </si>
  <si>
    <t>PO202600354</t>
  </si>
  <si>
    <t>PO202600355</t>
  </si>
  <si>
    <t>PO202600356</t>
  </si>
  <si>
    <t>PO202600357</t>
  </si>
  <si>
    <t>PO202600358</t>
  </si>
  <si>
    <t>PO202600359</t>
  </si>
  <si>
    <t>PO202600360</t>
  </si>
  <si>
    <t>PO202600361</t>
  </si>
  <si>
    <t>PO202600362</t>
  </si>
  <si>
    <t>PO202600363</t>
  </si>
  <si>
    <t>PO202600364</t>
  </si>
  <si>
    <t>PO202600365</t>
  </si>
  <si>
    <t>PO202600366</t>
  </si>
  <si>
    <t>PO202600367</t>
  </si>
  <si>
    <t>PO202600368</t>
  </si>
  <si>
    <t>PO202600369</t>
  </si>
  <si>
    <t>PO202600370</t>
  </si>
  <si>
    <t>PO202600371</t>
  </si>
  <si>
    <t>PO202600372</t>
  </si>
  <si>
    <t>PO202600373</t>
  </si>
  <si>
    <t>PO202600374</t>
  </si>
  <si>
    <t>PO202600375</t>
  </si>
  <si>
    <t>PO202600376</t>
  </si>
  <si>
    <t>PO202600377</t>
  </si>
  <si>
    <t>PO202600378</t>
  </si>
  <si>
    <t>PO202600379</t>
  </si>
  <si>
    <t>F942</t>
  </si>
  <si>
    <t>PO202600380</t>
  </si>
  <si>
    <t>A9605</t>
  </si>
  <si>
    <t>PO202600381</t>
  </si>
  <si>
    <t>PO202600382</t>
  </si>
  <si>
    <t>PO202600383</t>
  </si>
  <si>
    <t>PO202600384</t>
  </si>
  <si>
    <t>PO202600385</t>
  </si>
  <si>
    <t>PO202600386</t>
  </si>
  <si>
    <t>PO202600387</t>
  </si>
  <si>
    <t>PO202600388</t>
  </si>
  <si>
    <t>PO202600389</t>
  </si>
  <si>
    <t>PO202600390</t>
  </si>
  <si>
    <t>PO202600391</t>
  </si>
  <si>
    <t>PO202600392</t>
  </si>
  <si>
    <t>PO202600393</t>
  </si>
  <si>
    <t>PO202600394</t>
  </si>
  <si>
    <t>PO202600395</t>
  </si>
  <si>
    <t>PO202600396</t>
  </si>
  <si>
    <t>PO202600397</t>
  </si>
  <si>
    <t>PO202600398</t>
  </si>
  <si>
    <t>PO202600399</t>
  </si>
  <si>
    <t>PO202600400</t>
  </si>
  <si>
    <t>F922</t>
  </si>
  <si>
    <t>PO202600401</t>
  </si>
  <si>
    <t>PO202600402</t>
  </si>
  <si>
    <t>PO202600403</t>
  </si>
  <si>
    <t>PO202600404</t>
  </si>
  <si>
    <t>PO202600405</t>
  </si>
  <si>
    <t>PO202600406</t>
  </si>
  <si>
    <t>PO202600407</t>
  </si>
  <si>
    <t>PO202600408</t>
  </si>
  <si>
    <t>PO202600409</t>
  </si>
  <si>
    <t>PO202600410</t>
  </si>
  <si>
    <t>PO202600411</t>
  </si>
  <si>
    <t>PO202600412</t>
  </si>
  <si>
    <t>F945</t>
  </si>
  <si>
    <t>PO202600413</t>
  </si>
  <si>
    <t>PO202600414</t>
  </si>
  <si>
    <t>PO202600415</t>
  </si>
  <si>
    <t>PO202600416</t>
  </si>
  <si>
    <t>PO202600417</t>
  </si>
  <si>
    <t>PO202600418</t>
  </si>
  <si>
    <t>PO202600419</t>
  </si>
  <si>
    <t>F978</t>
  </si>
  <si>
    <t>PO202600420</t>
  </si>
  <si>
    <t>PO202600421</t>
  </si>
  <si>
    <t>PO202600422</t>
  </si>
  <si>
    <t>PO202600423</t>
  </si>
  <si>
    <t>PO202600424</t>
  </si>
  <si>
    <t>PO202600425</t>
  </si>
  <si>
    <t>PO202600426</t>
  </si>
  <si>
    <t>PO202600427</t>
  </si>
  <si>
    <t>PO202600428</t>
  </si>
  <si>
    <t>PO202600429</t>
  </si>
  <si>
    <t>PO202600430</t>
  </si>
  <si>
    <t>PO202600431</t>
  </si>
  <si>
    <t>PO202600432</t>
  </si>
  <si>
    <t>PO202600433</t>
  </si>
  <si>
    <t>PO202600434</t>
  </si>
  <si>
    <t>PO202600435</t>
  </si>
  <si>
    <t>PO202600436</t>
  </si>
  <si>
    <t>PO202600437</t>
  </si>
  <si>
    <t>PO202600438</t>
  </si>
  <si>
    <t>PO202600439</t>
  </si>
  <si>
    <t>PO202600440</t>
  </si>
  <si>
    <t>PO202600441</t>
  </si>
  <si>
    <t>PO202600442</t>
  </si>
  <si>
    <t>PO202600443</t>
  </si>
  <si>
    <t>PO202600444</t>
  </si>
  <si>
    <t>PO202600445</t>
  </si>
  <si>
    <t>PO202600446</t>
  </si>
  <si>
    <t>PO202600447</t>
  </si>
  <si>
    <t>PO202600448</t>
  </si>
  <si>
    <t>PO202600449</t>
  </si>
  <si>
    <t>PO202600450</t>
  </si>
  <si>
    <t>PO202600451</t>
  </si>
  <si>
    <t>A9812</t>
  </si>
  <si>
    <t>PO202600452</t>
  </si>
  <si>
    <t>PO202600453</t>
  </si>
  <si>
    <t>PO202600454</t>
  </si>
  <si>
    <t>PO202600455</t>
  </si>
  <si>
    <t>PO202600456</t>
  </si>
  <si>
    <t>A9998</t>
  </si>
  <si>
    <t>PO202600457</t>
  </si>
  <si>
    <t>PO202600458</t>
  </si>
  <si>
    <t>PO202600459</t>
  </si>
  <si>
    <t>PO202600460</t>
  </si>
  <si>
    <t>PO202600461</t>
  </si>
  <si>
    <t>PO202600462</t>
  </si>
  <si>
    <t>PO202600463</t>
  </si>
  <si>
    <t>PO202600464</t>
  </si>
  <si>
    <t>PO202600465</t>
  </si>
  <si>
    <t>PO202600466</t>
  </si>
  <si>
    <t>PO202600467</t>
  </si>
  <si>
    <t>PO202600468</t>
  </si>
  <si>
    <t>PO202600469</t>
  </si>
  <si>
    <t>PO202600470</t>
  </si>
  <si>
    <t>PO202600471</t>
  </si>
  <si>
    <t>F999</t>
  </si>
  <si>
    <t>PO202600472</t>
  </si>
  <si>
    <t>PO202600473</t>
  </si>
  <si>
    <t>PO202600474</t>
  </si>
  <si>
    <t>PO202600475</t>
  </si>
  <si>
    <t>PO202600476</t>
  </si>
  <si>
    <t>PO202600477</t>
  </si>
  <si>
    <t>PO202600478</t>
  </si>
  <si>
    <t>PO202600479</t>
  </si>
  <si>
    <t>PO202600480</t>
  </si>
  <si>
    <t>F974</t>
  </si>
  <si>
    <t>PO202600481</t>
  </si>
  <si>
    <t>PO202600482</t>
  </si>
  <si>
    <t>PO202600483</t>
  </si>
  <si>
    <t>PO202600484</t>
  </si>
  <si>
    <t>PO202600485</t>
  </si>
  <si>
    <t>PO202600486</t>
  </si>
  <si>
    <t>PO202600487</t>
  </si>
  <si>
    <t>PO202600488</t>
  </si>
  <si>
    <t>PO202600489</t>
  </si>
  <si>
    <t>PO202600490</t>
  </si>
  <si>
    <t>PO202600491</t>
  </si>
  <si>
    <t>PO202600492</t>
  </si>
  <si>
    <t>A9310</t>
  </si>
  <si>
    <t>PO202600493</t>
  </si>
  <si>
    <t>PO202600494</t>
  </si>
  <si>
    <t>PO202600495</t>
  </si>
  <si>
    <t>PO202600496</t>
  </si>
  <si>
    <t>PO202600497</t>
  </si>
  <si>
    <t>PO202600498</t>
  </si>
  <si>
    <t>PO202600499</t>
  </si>
  <si>
    <t>PO202600500</t>
  </si>
  <si>
    <t>Nom_Fournisseur</t>
  </si>
  <si>
    <t>Pays</t>
  </si>
  <si>
    <t>Categorie_Fournisseur</t>
  </si>
  <si>
    <t>Statut_Approvisionnement</t>
  </si>
  <si>
    <t>Conditions_Paiement</t>
  </si>
  <si>
    <t>Niveau_Risque</t>
  </si>
  <si>
    <t>Score_Risque</t>
  </si>
  <si>
    <t>Date_Evaluation_Risque</t>
  </si>
  <si>
    <t>États-Unis</t>
  </si>
  <si>
    <t>Composants</t>
  </si>
  <si>
    <t>Approuvé</t>
  </si>
  <si>
    <t>Net 45</t>
  </si>
  <si>
    <t>Moyen</t>
  </si>
  <si>
    <t>France</t>
  </si>
  <si>
    <t>Matières premières</t>
  </si>
  <si>
    <t>Net 30</t>
  </si>
  <si>
    <t>Emballage</t>
  </si>
  <si>
    <t>2% 10 Net 30</t>
  </si>
  <si>
    <t>Faible</t>
  </si>
  <si>
    <t>Maintenance</t>
  </si>
  <si>
    <t>Non approuvé</t>
  </si>
  <si>
    <t>Net 60</t>
  </si>
  <si>
    <t>Canada</t>
  </si>
  <si>
    <t>Mexique</t>
  </si>
  <si>
    <t>Allemagne</t>
  </si>
  <si>
    <t>Transport</t>
  </si>
  <si>
    <t>Élevé</t>
  </si>
  <si>
    <t>Chine</t>
  </si>
  <si>
    <t>Description_Article</t>
  </si>
  <si>
    <t>Groupe_Article</t>
  </si>
  <si>
    <t>Prix_Standard</t>
  </si>
  <si>
    <t>Criticite</t>
  </si>
  <si>
    <t>Delai_Approvisionnement_Jours</t>
  </si>
  <si>
    <t>Type_Article</t>
  </si>
  <si>
    <t>Unite_Mesure</t>
  </si>
  <si>
    <t>Article 001 - Acier</t>
  </si>
  <si>
    <t>Acier</t>
  </si>
  <si>
    <t>Composant</t>
  </si>
  <si>
    <t>KG</t>
  </si>
  <si>
    <t>Article 002 - Emballage</t>
  </si>
  <si>
    <t>Moyenne</t>
  </si>
  <si>
    <t>Pièce de rechange</t>
  </si>
  <si>
    <t>Article 003 - Filtres</t>
  </si>
  <si>
    <t>Filtres</t>
  </si>
  <si>
    <t>Produit fini</t>
  </si>
  <si>
    <t>M</t>
  </si>
  <si>
    <t>Article 004 - Emballage</t>
  </si>
  <si>
    <t>EA</t>
  </si>
  <si>
    <t>Article 005 - Électronique</t>
  </si>
  <si>
    <t>Électronique</t>
  </si>
  <si>
    <t>Article 006 - Acier</t>
  </si>
  <si>
    <t>Matière première</t>
  </si>
  <si>
    <t>Article 007 - Quincaillerie</t>
  </si>
  <si>
    <t>Quincaillerie</t>
  </si>
  <si>
    <t>Article 008 - Filtres</t>
  </si>
  <si>
    <t>Article 009 - Quincaillerie</t>
  </si>
  <si>
    <t>Article 010 - Hydraulique</t>
  </si>
  <si>
    <t>Hydraulique</t>
  </si>
  <si>
    <t>Article 011 - Acier</t>
  </si>
  <si>
    <t>Article 012 - Électronique</t>
  </si>
  <si>
    <t>L</t>
  </si>
  <si>
    <t>Article 013 - Moteurs</t>
  </si>
  <si>
    <t>Moteurs</t>
  </si>
  <si>
    <t>Article 014 - Emballage</t>
  </si>
  <si>
    <t>Critique</t>
  </si>
  <si>
    <t>Article 015 - Moteurs</t>
  </si>
  <si>
    <t>Article 016 - Moteurs</t>
  </si>
  <si>
    <t>Article 017 - Moteurs</t>
  </si>
  <si>
    <t>Article 018 - Électronique</t>
  </si>
  <si>
    <t>Article 019 - Acier</t>
  </si>
  <si>
    <t>Article 020 - Filtres</t>
  </si>
  <si>
    <t>Article 021 - Moteurs</t>
  </si>
  <si>
    <t>Article 022 - Moteurs</t>
  </si>
  <si>
    <t>Article 023 - Emballage</t>
  </si>
  <si>
    <t>Article 024 - Moteurs</t>
  </si>
  <si>
    <t>Article 025 - Filtres</t>
  </si>
  <si>
    <t>Article 026 - Électronique</t>
  </si>
  <si>
    <t>Article 027 - Électronique</t>
  </si>
  <si>
    <t>Article 028 - Emballage</t>
  </si>
  <si>
    <t>Article 029 - Emballage</t>
  </si>
  <si>
    <t>Article 030 - Électronique</t>
  </si>
  <si>
    <t>Article 031 - Quincaillerie</t>
  </si>
  <si>
    <t>Article 032 - Acier</t>
  </si>
  <si>
    <t>Article 033 - Filtres</t>
  </si>
  <si>
    <t>Article 034 - Filtres</t>
  </si>
  <si>
    <t>Article 035 - Électronique</t>
  </si>
  <si>
    <t>Article 036 - Électronique</t>
  </si>
  <si>
    <t>Article 037 - Électronique</t>
  </si>
  <si>
    <t>Article 038 - Acier</t>
  </si>
  <si>
    <t>Article 039 - Hydraulique</t>
  </si>
  <si>
    <t>Article 040 - Électronique</t>
  </si>
  <si>
    <t>Article 041 - Électronique</t>
  </si>
  <si>
    <t>Article 042 - Quincaillerie</t>
  </si>
  <si>
    <t>Article 043 - Acier</t>
  </si>
  <si>
    <t>Article 044 - Acier</t>
  </si>
  <si>
    <t>Article 045 - Filtres</t>
  </si>
  <si>
    <t>Stock_Actuel</t>
  </si>
  <si>
    <t>Point_Commande</t>
  </si>
  <si>
    <t>Stock_Securite</t>
  </si>
  <si>
    <t>Date_Derniere_MAJ</t>
  </si>
  <si>
    <t>Valeur_Stock</t>
  </si>
  <si>
    <t>Statut_Stock</t>
  </si>
  <si>
    <t>OK</t>
  </si>
  <si>
    <t>Sous seuil</t>
  </si>
  <si>
    <t>Champ</t>
  </si>
  <si>
    <t>Description</t>
  </si>
  <si>
    <t>Projet</t>
  </si>
  <si>
    <t>Tableau de bord Power BI pour le contrôle qualité des données ERP</t>
  </si>
  <si>
    <t>Objectif</t>
  </si>
  <si>
    <t>Simuler des extractions ERP/SAP afin de détecter automatiquement des anomalies opérationnelles.</t>
  </si>
  <si>
    <t>Langue</t>
  </si>
  <si>
    <t>Français - Québec</t>
  </si>
  <si>
    <t>Période simulée</t>
  </si>
  <si>
    <t>2025-09 à 2026-04</t>
  </si>
  <si>
    <t>Anomalies intégrées</t>
  </si>
  <si>
    <t>Fournisseur inexistant, article inexistant, fournisseur non approuvé, quantité négative ou nulle, écart de prix &gt; 20 %, livraison en retard, date de livraison manquante, stock sous seuil, stock critique.</t>
  </si>
  <si>
    <t>Utilisation</t>
  </si>
  <si>
    <t>Charger les quatre tables dans Power BI, créer les relations par ID_Fournisseur et ID_Article, puis construire les contrôles en Power Query/DAX.</t>
  </si>
  <si>
    <t>Ferantis</t>
  </si>
  <si>
    <t>Nordex</t>
  </si>
  <si>
    <t>Gagnon Inc</t>
  </si>
  <si>
    <t>Omnitek</t>
  </si>
  <si>
    <t>Solvex</t>
  </si>
  <si>
    <t>Valtrix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</si>
</sst>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/>
  </sheetViews>
  <sheetFormatPr defaultRowHeight="14.4" x14ac:dyDescent="0.3"/>
  <cols>
    <col min="1" max="1" width="16" customWidth="1"/>
    <col min="2" max="2" width="13" customWidth="1"/>
    <col min="3" max="3" width="15" customWidth="1"/>
    <col min="4" max="4" width="13" customWidth="1"/>
    <col min="5" max="6" width="10" customWidth="1"/>
    <col min="7" max="7" width="12" customWidth="1"/>
    <col min="8" max="10" width="20" customWidth="1"/>
    <col min="11" max="11" width="9" customWidth="1"/>
    <col min="12" max="13" width="16" customWidth="1"/>
    <col min="14" max="14" width="20" customWidth="1"/>
    <col min="15" max="15" width="12" customWidth="1"/>
    <col min="16" max="16" width="15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45901</v>
      </c>
      <c r="C2" t="s">
        <v>17</v>
      </c>
      <c r="D2" t="s">
        <v>18</v>
      </c>
      <c r="E2" t="s">
        <v>19</v>
      </c>
      <c r="F2">
        <v>134</v>
      </c>
      <c r="G2">
        <v>352.87</v>
      </c>
      <c r="H2">
        <v>45957</v>
      </c>
      <c r="I2">
        <v>45957</v>
      </c>
      <c r="J2" t="s">
        <v>20</v>
      </c>
      <c r="K2" t="s">
        <v>21</v>
      </c>
      <c r="L2" t="s">
        <v>22</v>
      </c>
      <c r="M2">
        <f t="shared" ref="M2:M65" si="0">F2*G2</f>
        <v>47284.58</v>
      </c>
      <c r="N2">
        <f t="shared" ref="N2:N65" si="1">IF(I2="","",I2-B2)</f>
        <v>56</v>
      </c>
      <c r="O2" t="str">
        <f ca="1">IFERROR((G2-_xludf.XLOOKUP(D2,Articles!A:A,Articles!D:D))/_xludf.XLOOKUP(D2,Articles!A:A,Articles!D:D),"")</f>
        <v/>
      </c>
      <c r="P2" t="s">
        <v>23</v>
      </c>
    </row>
    <row r="3" spans="1:16" x14ac:dyDescent="0.3">
      <c r="A3" t="s">
        <v>24</v>
      </c>
      <c r="B3">
        <v>46085</v>
      </c>
      <c r="C3" t="s">
        <v>25</v>
      </c>
      <c r="D3" t="s">
        <v>26</v>
      </c>
      <c r="E3" t="s">
        <v>27</v>
      </c>
      <c r="F3">
        <v>231</v>
      </c>
      <c r="G3">
        <v>377.46</v>
      </c>
      <c r="H3">
        <v>46107</v>
      </c>
      <c r="I3">
        <v>46111</v>
      </c>
      <c r="J3" t="s">
        <v>20</v>
      </c>
      <c r="K3" t="s">
        <v>21</v>
      </c>
      <c r="L3" t="s">
        <v>28</v>
      </c>
      <c r="M3">
        <f t="shared" si="0"/>
        <v>87193.26</v>
      </c>
      <c r="N3">
        <f t="shared" si="1"/>
        <v>26</v>
      </c>
      <c r="O3" t="str">
        <f ca="1">IFERROR((G3-_xludf.XLOOKUP(D3,Articles!A:A,Articles!D:D))/_xludf.XLOOKUP(D3,Articles!A:A,Articles!D:D),"")</f>
        <v/>
      </c>
      <c r="P3" t="s">
        <v>29</v>
      </c>
    </row>
    <row r="4" spans="1:16" x14ac:dyDescent="0.3">
      <c r="A4" t="s">
        <v>30</v>
      </c>
      <c r="B4">
        <v>46074</v>
      </c>
      <c r="C4" t="s">
        <v>31</v>
      </c>
      <c r="D4" t="s">
        <v>32</v>
      </c>
      <c r="E4" t="s">
        <v>19</v>
      </c>
      <c r="F4">
        <v>192</v>
      </c>
      <c r="G4">
        <v>278.08</v>
      </c>
      <c r="H4">
        <v>46105</v>
      </c>
      <c r="I4">
        <v>46106</v>
      </c>
      <c r="J4" t="s">
        <v>20</v>
      </c>
      <c r="K4" t="s">
        <v>21</v>
      </c>
      <c r="L4" t="s">
        <v>33</v>
      </c>
      <c r="M4">
        <f t="shared" si="0"/>
        <v>53391.360000000001</v>
      </c>
      <c r="N4">
        <f t="shared" si="1"/>
        <v>32</v>
      </c>
      <c r="O4" t="str">
        <f ca="1">IFERROR((G4-_xludf.XLOOKUP(D4,Articles!A:A,Articles!D:D))/_xludf.XLOOKUP(D4,Articles!A:A,Articles!D:D),"")</f>
        <v/>
      </c>
      <c r="P4" t="s">
        <v>34</v>
      </c>
    </row>
    <row r="5" spans="1:16" x14ac:dyDescent="0.3">
      <c r="A5" t="s">
        <v>35</v>
      </c>
      <c r="B5">
        <v>46102</v>
      </c>
      <c r="C5" t="s">
        <v>17</v>
      </c>
      <c r="D5" t="s">
        <v>36</v>
      </c>
      <c r="E5" t="s">
        <v>37</v>
      </c>
      <c r="F5">
        <v>149</v>
      </c>
      <c r="G5">
        <v>389.6</v>
      </c>
      <c r="H5">
        <v>46115</v>
      </c>
      <c r="I5">
        <v>46122</v>
      </c>
      <c r="J5" t="s">
        <v>20</v>
      </c>
      <c r="K5" t="s">
        <v>21</v>
      </c>
      <c r="L5" t="s">
        <v>28</v>
      </c>
      <c r="M5">
        <f t="shared" si="0"/>
        <v>58050.400000000001</v>
      </c>
      <c r="N5">
        <f t="shared" si="1"/>
        <v>20</v>
      </c>
      <c r="O5" t="str">
        <f ca="1">IFERROR((G5-_xludf.XLOOKUP(D5,Articles!A:A,Articles!D:D))/_xludf.XLOOKUP(D5,Articles!A:A,Articles!D:D),"")</f>
        <v/>
      </c>
      <c r="P5" t="s">
        <v>29</v>
      </c>
    </row>
    <row r="6" spans="1:16" x14ac:dyDescent="0.3">
      <c r="A6" t="s">
        <v>38</v>
      </c>
      <c r="B6">
        <v>45973</v>
      </c>
      <c r="C6" t="s">
        <v>39</v>
      </c>
      <c r="D6" t="s">
        <v>40</v>
      </c>
      <c r="E6" t="s">
        <v>27</v>
      </c>
      <c r="F6">
        <v>132</v>
      </c>
      <c r="G6">
        <v>129.53</v>
      </c>
      <c r="H6">
        <v>46022</v>
      </c>
      <c r="I6">
        <v>46032</v>
      </c>
      <c r="J6" t="s">
        <v>41</v>
      </c>
      <c r="K6" t="s">
        <v>21</v>
      </c>
      <c r="L6" t="s">
        <v>33</v>
      </c>
      <c r="M6">
        <f t="shared" si="0"/>
        <v>17097.96</v>
      </c>
      <c r="N6">
        <f t="shared" si="1"/>
        <v>59</v>
      </c>
      <c r="O6" t="str">
        <f ca="1">IFERROR((G6-_xludf.XLOOKUP(D6,Articles!A:A,Articles!D:D))/_xludf.XLOOKUP(D6,Articles!A:A,Articles!D:D),"")</f>
        <v/>
      </c>
      <c r="P6" t="s">
        <v>23</v>
      </c>
    </row>
    <row r="7" spans="1:16" x14ac:dyDescent="0.3">
      <c r="A7" t="s">
        <v>42</v>
      </c>
      <c r="B7">
        <v>45938</v>
      </c>
      <c r="C7" t="s">
        <v>43</v>
      </c>
      <c r="D7" t="s">
        <v>44</v>
      </c>
      <c r="E7" t="s">
        <v>27</v>
      </c>
      <c r="F7">
        <v>7</v>
      </c>
      <c r="G7">
        <v>88.53</v>
      </c>
      <c r="H7">
        <v>45973</v>
      </c>
      <c r="J7" t="s">
        <v>20</v>
      </c>
      <c r="K7" t="s">
        <v>21</v>
      </c>
      <c r="L7" t="s">
        <v>45</v>
      </c>
      <c r="M7">
        <f t="shared" si="0"/>
        <v>619.71</v>
      </c>
      <c r="N7" t="str">
        <f t="shared" si="1"/>
        <v/>
      </c>
      <c r="O7" t="str">
        <f ca="1">IFERROR((G7-_xludf.XLOOKUP(D7,Articles!A:A,Articles!D:D))/_xludf.XLOOKUP(D7,Articles!A:A,Articles!D:D),"")</f>
        <v/>
      </c>
      <c r="P7" t="s">
        <v>34</v>
      </c>
    </row>
    <row r="8" spans="1:16" x14ac:dyDescent="0.3">
      <c r="A8" t="s">
        <v>46</v>
      </c>
      <c r="B8">
        <v>45963</v>
      </c>
      <c r="C8" t="s">
        <v>31</v>
      </c>
      <c r="D8" t="s">
        <v>47</v>
      </c>
      <c r="E8" t="s">
        <v>37</v>
      </c>
      <c r="F8">
        <v>38</v>
      </c>
      <c r="G8">
        <v>68.900000000000006</v>
      </c>
      <c r="H8">
        <v>45982</v>
      </c>
      <c r="I8">
        <v>45981</v>
      </c>
      <c r="J8" t="s">
        <v>20</v>
      </c>
      <c r="K8" t="s">
        <v>21</v>
      </c>
      <c r="L8" t="s">
        <v>48</v>
      </c>
      <c r="M8">
        <f t="shared" si="0"/>
        <v>2618.2000000000003</v>
      </c>
      <c r="N8">
        <f t="shared" si="1"/>
        <v>18</v>
      </c>
      <c r="O8" t="str">
        <f ca="1">IFERROR((G8-_xludf.XLOOKUP(D8,Articles!A:A,Articles!D:D))/_xludf.XLOOKUP(D8,Articles!A:A,Articles!D:D),"")</f>
        <v/>
      </c>
      <c r="P8" t="s">
        <v>29</v>
      </c>
    </row>
    <row r="9" spans="1:16" x14ac:dyDescent="0.3">
      <c r="A9" t="s">
        <v>49</v>
      </c>
      <c r="B9">
        <v>46118</v>
      </c>
      <c r="C9" t="s">
        <v>50</v>
      </c>
      <c r="D9" t="s">
        <v>51</v>
      </c>
      <c r="E9" t="s">
        <v>37</v>
      </c>
      <c r="F9">
        <v>32</v>
      </c>
      <c r="G9">
        <v>298.83</v>
      </c>
      <c r="H9">
        <v>46150</v>
      </c>
      <c r="I9">
        <v>46162</v>
      </c>
      <c r="J9" t="s">
        <v>52</v>
      </c>
      <c r="K9" t="s">
        <v>21</v>
      </c>
      <c r="L9" t="s">
        <v>22</v>
      </c>
      <c r="M9">
        <f t="shared" si="0"/>
        <v>9562.56</v>
      </c>
      <c r="N9">
        <f t="shared" si="1"/>
        <v>44</v>
      </c>
      <c r="O9" t="str">
        <f ca="1">IFERROR((G9-_xludf.XLOOKUP(D9,Articles!A:A,Articles!D:D))/_xludf.XLOOKUP(D9,Articles!A:A,Articles!D:D),"")</f>
        <v/>
      </c>
      <c r="P9" t="s">
        <v>29</v>
      </c>
    </row>
    <row r="10" spans="1:16" x14ac:dyDescent="0.3">
      <c r="A10" t="s">
        <v>53</v>
      </c>
      <c r="B10">
        <v>46113</v>
      </c>
      <c r="C10" t="s">
        <v>17</v>
      </c>
      <c r="D10" t="s">
        <v>54</v>
      </c>
      <c r="E10" t="s">
        <v>19</v>
      </c>
      <c r="F10">
        <v>233</v>
      </c>
      <c r="G10">
        <v>259.60000000000002</v>
      </c>
      <c r="H10">
        <v>46125</v>
      </c>
      <c r="I10">
        <v>46141</v>
      </c>
      <c r="J10" t="s">
        <v>20</v>
      </c>
      <c r="K10" t="s">
        <v>21</v>
      </c>
      <c r="L10" t="s">
        <v>22</v>
      </c>
      <c r="M10">
        <f t="shared" si="0"/>
        <v>60486.8</v>
      </c>
      <c r="N10">
        <f t="shared" si="1"/>
        <v>28</v>
      </c>
      <c r="O10" t="str">
        <f ca="1">IFERROR((G10-_xludf.XLOOKUP(D10,Articles!A:A,Articles!D:D))/_xludf.XLOOKUP(D10,Articles!A:A,Articles!D:D),"")</f>
        <v/>
      </c>
      <c r="P10" t="s">
        <v>34</v>
      </c>
    </row>
    <row r="11" spans="1:16" x14ac:dyDescent="0.3">
      <c r="A11" t="s">
        <v>55</v>
      </c>
      <c r="B11">
        <v>45971</v>
      </c>
      <c r="C11" t="s">
        <v>25</v>
      </c>
      <c r="D11" t="s">
        <v>47</v>
      </c>
      <c r="E11" t="s">
        <v>56</v>
      </c>
      <c r="F11">
        <v>113</v>
      </c>
      <c r="G11">
        <v>57.48</v>
      </c>
      <c r="H11">
        <v>45994</v>
      </c>
      <c r="I11">
        <v>45994</v>
      </c>
      <c r="J11" t="s">
        <v>20</v>
      </c>
      <c r="K11" t="s">
        <v>21</v>
      </c>
      <c r="L11" t="s">
        <v>28</v>
      </c>
      <c r="M11">
        <f t="shared" si="0"/>
        <v>6495.24</v>
      </c>
      <c r="N11">
        <f t="shared" si="1"/>
        <v>23</v>
      </c>
      <c r="O11" t="str">
        <f ca="1">IFERROR((G11-_xludf.XLOOKUP(D11,Articles!A:A,Articles!D:D))/_xludf.XLOOKUP(D11,Articles!A:A,Articles!D:D),"")</f>
        <v/>
      </c>
      <c r="P11" t="s">
        <v>29</v>
      </c>
    </row>
    <row r="12" spans="1:16" x14ac:dyDescent="0.3">
      <c r="A12" t="s">
        <v>57</v>
      </c>
      <c r="B12">
        <v>45999</v>
      </c>
      <c r="C12" t="s">
        <v>58</v>
      </c>
      <c r="D12" t="s">
        <v>59</v>
      </c>
      <c r="E12" t="s">
        <v>37</v>
      </c>
      <c r="F12">
        <v>178</v>
      </c>
      <c r="G12">
        <v>192.09</v>
      </c>
      <c r="H12">
        <v>46051</v>
      </c>
      <c r="I12">
        <v>46050</v>
      </c>
      <c r="J12" t="s">
        <v>20</v>
      </c>
      <c r="K12" t="s">
        <v>21</v>
      </c>
      <c r="L12" t="s">
        <v>45</v>
      </c>
      <c r="M12">
        <f t="shared" si="0"/>
        <v>34192.020000000004</v>
      </c>
      <c r="N12">
        <f t="shared" si="1"/>
        <v>51</v>
      </c>
      <c r="O12" t="str">
        <f ca="1">IFERROR((G12-_xludf.XLOOKUP(D12,Articles!A:A,Articles!D:D))/_xludf.XLOOKUP(D12,Articles!A:A,Articles!D:D),"")</f>
        <v/>
      </c>
      <c r="P12" t="s">
        <v>29</v>
      </c>
    </row>
    <row r="13" spans="1:16" x14ac:dyDescent="0.3">
      <c r="A13" t="s">
        <v>60</v>
      </c>
      <c r="B13">
        <v>46114</v>
      </c>
      <c r="C13" t="s">
        <v>43</v>
      </c>
      <c r="D13" t="s">
        <v>61</v>
      </c>
      <c r="E13" t="s">
        <v>37</v>
      </c>
      <c r="F13">
        <v>108</v>
      </c>
      <c r="G13">
        <v>194.95</v>
      </c>
      <c r="H13">
        <v>46159</v>
      </c>
      <c r="I13">
        <v>46156</v>
      </c>
      <c r="J13" t="s">
        <v>62</v>
      </c>
      <c r="K13" t="s">
        <v>21</v>
      </c>
      <c r="L13" t="s">
        <v>45</v>
      </c>
      <c r="M13">
        <f t="shared" si="0"/>
        <v>21054.6</v>
      </c>
      <c r="N13">
        <f t="shared" si="1"/>
        <v>42</v>
      </c>
      <c r="O13" t="str">
        <f ca="1">IFERROR((G13-_xludf.XLOOKUP(D13,Articles!A:A,Articles!D:D))/_xludf.XLOOKUP(D13,Articles!A:A,Articles!D:D),"")</f>
        <v/>
      </c>
      <c r="P13" t="s">
        <v>23</v>
      </c>
    </row>
    <row r="14" spans="1:16" x14ac:dyDescent="0.3">
      <c r="A14" t="s">
        <v>63</v>
      </c>
      <c r="B14">
        <v>45977</v>
      </c>
      <c r="C14" t="s">
        <v>64</v>
      </c>
      <c r="D14" t="s">
        <v>65</v>
      </c>
      <c r="E14" t="s">
        <v>27</v>
      </c>
      <c r="F14">
        <v>193</v>
      </c>
      <c r="G14">
        <v>215.46</v>
      </c>
      <c r="H14">
        <v>45990</v>
      </c>
      <c r="I14">
        <v>46002</v>
      </c>
      <c r="J14" t="s">
        <v>20</v>
      </c>
      <c r="K14" t="s">
        <v>21</v>
      </c>
      <c r="L14" t="s">
        <v>45</v>
      </c>
      <c r="M14">
        <f t="shared" si="0"/>
        <v>41583.78</v>
      </c>
      <c r="N14">
        <f t="shared" si="1"/>
        <v>25</v>
      </c>
      <c r="O14" t="str">
        <f ca="1">IFERROR((G14-_xludf.XLOOKUP(D14,Articles!A:A,Articles!D:D))/_xludf.XLOOKUP(D14,Articles!A:A,Articles!D:D),"")</f>
        <v/>
      </c>
      <c r="P14" t="s">
        <v>29</v>
      </c>
    </row>
    <row r="15" spans="1:16" x14ac:dyDescent="0.3">
      <c r="A15" t="s">
        <v>66</v>
      </c>
      <c r="B15">
        <v>46012</v>
      </c>
      <c r="C15" t="s">
        <v>67</v>
      </c>
      <c r="D15" t="s">
        <v>44</v>
      </c>
      <c r="E15" t="s">
        <v>27</v>
      </c>
      <c r="F15">
        <v>125</v>
      </c>
      <c r="G15">
        <v>158.03</v>
      </c>
      <c r="H15">
        <v>46045</v>
      </c>
      <c r="I15">
        <v>46049</v>
      </c>
      <c r="J15" t="s">
        <v>20</v>
      </c>
      <c r="K15" t="s">
        <v>21</v>
      </c>
      <c r="L15" t="s">
        <v>22</v>
      </c>
      <c r="M15">
        <f t="shared" si="0"/>
        <v>19753.75</v>
      </c>
      <c r="N15">
        <f t="shared" si="1"/>
        <v>37</v>
      </c>
      <c r="O15" t="str">
        <f ca="1">IFERROR((G15-_xludf.XLOOKUP(D15,Articles!A:A,Articles!D:D))/_xludf.XLOOKUP(D15,Articles!A:A,Articles!D:D),"")</f>
        <v/>
      </c>
      <c r="P15" t="s">
        <v>34</v>
      </c>
    </row>
    <row r="16" spans="1:16" x14ac:dyDescent="0.3">
      <c r="A16" t="s">
        <v>68</v>
      </c>
      <c r="B16">
        <v>46001</v>
      </c>
      <c r="C16" t="s">
        <v>25</v>
      </c>
      <c r="D16" t="s">
        <v>69</v>
      </c>
      <c r="E16" t="s">
        <v>37</v>
      </c>
      <c r="F16">
        <v>152</v>
      </c>
      <c r="G16">
        <v>172.45</v>
      </c>
      <c r="H16">
        <v>46054</v>
      </c>
      <c r="I16">
        <v>46053</v>
      </c>
      <c r="J16" t="s">
        <v>20</v>
      </c>
      <c r="K16" t="s">
        <v>21</v>
      </c>
      <c r="L16" t="s">
        <v>28</v>
      </c>
      <c r="M16">
        <f t="shared" si="0"/>
        <v>26212.399999999998</v>
      </c>
      <c r="N16">
        <f t="shared" si="1"/>
        <v>52</v>
      </c>
      <c r="O16" t="str">
        <f ca="1">IFERROR((G16-_xludf.XLOOKUP(D16,Articles!A:A,Articles!D:D))/_xludf.XLOOKUP(D16,Articles!A:A,Articles!D:D),"")</f>
        <v/>
      </c>
      <c r="P16" t="s">
        <v>29</v>
      </c>
    </row>
    <row r="17" spans="1:16" x14ac:dyDescent="0.3">
      <c r="A17" t="s">
        <v>70</v>
      </c>
      <c r="B17">
        <v>45998</v>
      </c>
      <c r="C17" t="s">
        <v>67</v>
      </c>
      <c r="D17" t="s">
        <v>61</v>
      </c>
      <c r="E17" t="s">
        <v>37</v>
      </c>
      <c r="F17">
        <v>84</v>
      </c>
      <c r="G17">
        <v>285.7</v>
      </c>
      <c r="H17">
        <v>46039</v>
      </c>
      <c r="I17">
        <v>46041</v>
      </c>
      <c r="J17" t="s">
        <v>20</v>
      </c>
      <c r="K17" t="s">
        <v>21</v>
      </c>
      <c r="L17" t="s">
        <v>33</v>
      </c>
      <c r="M17">
        <f t="shared" si="0"/>
        <v>23998.799999999999</v>
      </c>
      <c r="N17">
        <f t="shared" si="1"/>
        <v>43</v>
      </c>
      <c r="O17" t="str">
        <f ca="1">IFERROR((G17-_xludf.XLOOKUP(D17,Articles!A:A,Articles!D:D))/_xludf.XLOOKUP(D17,Articles!A:A,Articles!D:D),"")</f>
        <v/>
      </c>
      <c r="P17" t="s">
        <v>29</v>
      </c>
    </row>
    <row r="18" spans="1:16" x14ac:dyDescent="0.3">
      <c r="A18" t="s">
        <v>71</v>
      </c>
      <c r="B18">
        <v>45905</v>
      </c>
      <c r="C18" t="s">
        <v>72</v>
      </c>
      <c r="D18" t="s">
        <v>73</v>
      </c>
      <c r="E18" t="s">
        <v>56</v>
      </c>
      <c r="F18">
        <v>192</v>
      </c>
      <c r="G18">
        <v>290.33999999999997</v>
      </c>
      <c r="H18">
        <v>45927</v>
      </c>
      <c r="I18">
        <v>45927</v>
      </c>
      <c r="J18" t="s">
        <v>20</v>
      </c>
      <c r="K18" t="s">
        <v>21</v>
      </c>
      <c r="L18" t="s">
        <v>48</v>
      </c>
      <c r="M18">
        <f t="shared" si="0"/>
        <v>55745.279999999999</v>
      </c>
      <c r="N18">
        <f t="shared" si="1"/>
        <v>22</v>
      </c>
      <c r="O18" t="str">
        <f ca="1">IFERROR((G18-_xludf.XLOOKUP(D18,Articles!A:A,Articles!D:D))/_xludf.XLOOKUP(D18,Articles!A:A,Articles!D:D),"")</f>
        <v/>
      </c>
      <c r="P18" t="s">
        <v>34</v>
      </c>
    </row>
    <row r="19" spans="1:16" x14ac:dyDescent="0.3">
      <c r="A19" t="s">
        <v>74</v>
      </c>
      <c r="B19">
        <v>46115</v>
      </c>
      <c r="C19" t="s">
        <v>75</v>
      </c>
      <c r="D19" t="s">
        <v>76</v>
      </c>
      <c r="E19" t="s">
        <v>27</v>
      </c>
      <c r="F19">
        <v>6</v>
      </c>
      <c r="G19">
        <v>187.14</v>
      </c>
      <c r="H19">
        <v>46171</v>
      </c>
      <c r="I19">
        <v>46171</v>
      </c>
      <c r="J19" t="s">
        <v>20</v>
      </c>
      <c r="K19" t="s">
        <v>21</v>
      </c>
      <c r="L19" t="s">
        <v>45</v>
      </c>
      <c r="M19">
        <f t="shared" si="0"/>
        <v>1122.8399999999999</v>
      </c>
      <c r="N19">
        <f t="shared" si="1"/>
        <v>56</v>
      </c>
      <c r="O19" t="str">
        <f ca="1">IFERROR((G19-_xludf.XLOOKUP(D19,Articles!A:A,Articles!D:D))/_xludf.XLOOKUP(D19,Articles!A:A,Articles!D:D),"")</f>
        <v/>
      </c>
      <c r="P19" t="s">
        <v>29</v>
      </c>
    </row>
    <row r="20" spans="1:16" x14ac:dyDescent="0.3">
      <c r="A20" t="s">
        <v>77</v>
      </c>
      <c r="B20">
        <v>46097</v>
      </c>
      <c r="C20" t="s">
        <v>67</v>
      </c>
      <c r="D20" t="s">
        <v>78</v>
      </c>
      <c r="E20" t="s">
        <v>19</v>
      </c>
      <c r="F20">
        <v>95</v>
      </c>
      <c r="G20">
        <v>53.23</v>
      </c>
      <c r="H20">
        <v>46145</v>
      </c>
      <c r="I20">
        <v>46144</v>
      </c>
      <c r="J20" t="s">
        <v>20</v>
      </c>
      <c r="K20" t="s">
        <v>21</v>
      </c>
      <c r="L20" t="s">
        <v>48</v>
      </c>
      <c r="M20">
        <f t="shared" si="0"/>
        <v>5056.8499999999995</v>
      </c>
      <c r="N20">
        <f t="shared" si="1"/>
        <v>47</v>
      </c>
      <c r="O20" t="str">
        <f ca="1">IFERROR((G20-_xludf.XLOOKUP(D20,Articles!A:A,Articles!D:D))/_xludf.XLOOKUP(D20,Articles!A:A,Articles!D:D),"")</f>
        <v/>
      </c>
      <c r="P20" t="s">
        <v>29</v>
      </c>
    </row>
    <row r="21" spans="1:16" x14ac:dyDescent="0.3">
      <c r="A21" t="s">
        <v>79</v>
      </c>
      <c r="B21">
        <v>45980</v>
      </c>
      <c r="C21" t="s">
        <v>80</v>
      </c>
      <c r="D21" t="s">
        <v>81</v>
      </c>
      <c r="E21" t="s">
        <v>27</v>
      </c>
      <c r="F21">
        <v>148</v>
      </c>
      <c r="G21">
        <v>438.79</v>
      </c>
      <c r="H21">
        <v>46039</v>
      </c>
      <c r="I21">
        <v>46043</v>
      </c>
      <c r="J21" t="s">
        <v>62</v>
      </c>
      <c r="K21" t="s">
        <v>21</v>
      </c>
      <c r="L21" t="s">
        <v>48</v>
      </c>
      <c r="M21">
        <f t="shared" si="0"/>
        <v>64940.920000000006</v>
      </c>
      <c r="N21">
        <f t="shared" si="1"/>
        <v>63</v>
      </c>
      <c r="O21" t="str">
        <f ca="1">IFERROR((G21-_xludf.XLOOKUP(D21,Articles!A:A,Articles!D:D))/_xludf.XLOOKUP(D21,Articles!A:A,Articles!D:D),"")</f>
        <v/>
      </c>
      <c r="P21" t="s">
        <v>29</v>
      </c>
    </row>
    <row r="22" spans="1:16" x14ac:dyDescent="0.3">
      <c r="A22" t="s">
        <v>82</v>
      </c>
      <c r="B22">
        <v>46118</v>
      </c>
      <c r="C22" t="s">
        <v>83</v>
      </c>
      <c r="D22" t="s">
        <v>78</v>
      </c>
      <c r="E22" t="s">
        <v>19</v>
      </c>
      <c r="F22">
        <v>176</v>
      </c>
      <c r="G22">
        <v>60.9</v>
      </c>
      <c r="H22">
        <v>46158</v>
      </c>
      <c r="I22">
        <v>46155</v>
      </c>
      <c r="J22" t="s">
        <v>20</v>
      </c>
      <c r="K22" t="s">
        <v>21</v>
      </c>
      <c r="L22" t="s">
        <v>48</v>
      </c>
      <c r="M22">
        <f t="shared" si="0"/>
        <v>10718.4</v>
      </c>
      <c r="N22">
        <f t="shared" si="1"/>
        <v>37</v>
      </c>
      <c r="O22" t="str">
        <f ca="1">IFERROR((G22-_xludf.XLOOKUP(D22,Articles!A:A,Articles!D:D))/_xludf.XLOOKUP(D22,Articles!A:A,Articles!D:D),"")</f>
        <v/>
      </c>
      <c r="P22" t="s">
        <v>29</v>
      </c>
    </row>
    <row r="23" spans="1:16" x14ac:dyDescent="0.3">
      <c r="A23" t="s">
        <v>84</v>
      </c>
      <c r="B23">
        <v>45904</v>
      </c>
      <c r="C23" t="s">
        <v>85</v>
      </c>
      <c r="D23" t="s">
        <v>54</v>
      </c>
      <c r="E23" t="s">
        <v>37</v>
      </c>
      <c r="F23">
        <v>218</v>
      </c>
      <c r="G23">
        <v>249.78</v>
      </c>
      <c r="H23">
        <v>45921</v>
      </c>
      <c r="I23">
        <v>45920</v>
      </c>
      <c r="J23" t="s">
        <v>20</v>
      </c>
      <c r="K23" t="s">
        <v>21</v>
      </c>
      <c r="L23" t="s">
        <v>28</v>
      </c>
      <c r="M23">
        <f t="shared" si="0"/>
        <v>54452.04</v>
      </c>
      <c r="N23">
        <f t="shared" si="1"/>
        <v>16</v>
      </c>
      <c r="O23" t="str">
        <f ca="1">IFERROR((G23-_xludf.XLOOKUP(D23,Articles!A:A,Articles!D:D))/_xludf.XLOOKUP(D23,Articles!A:A,Articles!D:D),"")</f>
        <v/>
      </c>
      <c r="P23" t="s">
        <v>29</v>
      </c>
    </row>
    <row r="24" spans="1:16" x14ac:dyDescent="0.3">
      <c r="A24" t="s">
        <v>86</v>
      </c>
      <c r="B24">
        <v>46088</v>
      </c>
      <c r="C24" t="s">
        <v>87</v>
      </c>
      <c r="D24" t="s">
        <v>88</v>
      </c>
      <c r="E24" t="s">
        <v>19</v>
      </c>
      <c r="F24">
        <v>134</v>
      </c>
      <c r="G24">
        <v>451.45</v>
      </c>
      <c r="H24">
        <v>46111</v>
      </c>
      <c r="I24">
        <v>46123</v>
      </c>
      <c r="J24" t="s">
        <v>20</v>
      </c>
      <c r="K24" t="s">
        <v>21</v>
      </c>
      <c r="L24" t="s">
        <v>33</v>
      </c>
      <c r="M24">
        <f t="shared" si="0"/>
        <v>60494.299999999996</v>
      </c>
      <c r="N24">
        <f t="shared" si="1"/>
        <v>35</v>
      </c>
      <c r="O24" t="str">
        <f ca="1">IFERROR((G24-_xludf.XLOOKUP(D24,Articles!A:A,Articles!D:D))/_xludf.XLOOKUP(D24,Articles!A:A,Articles!D:D),"")</f>
        <v/>
      </c>
      <c r="P24" t="s">
        <v>29</v>
      </c>
    </row>
    <row r="25" spans="1:16" x14ac:dyDescent="0.3">
      <c r="A25" t="s">
        <v>89</v>
      </c>
      <c r="B25">
        <v>45972</v>
      </c>
      <c r="C25" t="s">
        <v>39</v>
      </c>
      <c r="D25" t="s">
        <v>76</v>
      </c>
      <c r="E25" t="s">
        <v>19</v>
      </c>
      <c r="F25">
        <v>226</v>
      </c>
      <c r="G25">
        <v>177.9</v>
      </c>
      <c r="H25">
        <v>46032</v>
      </c>
      <c r="I25">
        <v>46040</v>
      </c>
      <c r="J25" t="s">
        <v>20</v>
      </c>
      <c r="K25" t="s">
        <v>21</v>
      </c>
      <c r="L25" t="s">
        <v>28</v>
      </c>
      <c r="M25">
        <f t="shared" si="0"/>
        <v>40205.4</v>
      </c>
      <c r="N25">
        <f t="shared" si="1"/>
        <v>68</v>
      </c>
      <c r="O25" t="str">
        <f ca="1">IFERROR((G25-_xludf.XLOOKUP(D25,Articles!A:A,Articles!D:D))/_xludf.XLOOKUP(D25,Articles!A:A,Articles!D:D),"")</f>
        <v/>
      </c>
      <c r="P25" t="s">
        <v>29</v>
      </c>
    </row>
    <row r="26" spans="1:16" x14ac:dyDescent="0.3">
      <c r="A26" t="s">
        <v>90</v>
      </c>
      <c r="B26">
        <v>45991</v>
      </c>
      <c r="C26" t="s">
        <v>43</v>
      </c>
      <c r="D26" t="s">
        <v>47</v>
      </c>
      <c r="E26" t="s">
        <v>27</v>
      </c>
      <c r="F26">
        <v>205</v>
      </c>
      <c r="G26">
        <v>103.49</v>
      </c>
      <c r="H26">
        <v>46014</v>
      </c>
      <c r="I26">
        <v>46015</v>
      </c>
      <c r="J26" t="s">
        <v>20</v>
      </c>
      <c r="K26" t="s">
        <v>21</v>
      </c>
      <c r="L26" t="s">
        <v>48</v>
      </c>
      <c r="M26">
        <f t="shared" si="0"/>
        <v>21215.45</v>
      </c>
      <c r="N26">
        <f t="shared" si="1"/>
        <v>24</v>
      </c>
      <c r="O26" t="str">
        <f ca="1">IFERROR((G26-_xludf.XLOOKUP(D26,Articles!A:A,Articles!D:D))/_xludf.XLOOKUP(D26,Articles!A:A,Articles!D:D),"")</f>
        <v/>
      </c>
      <c r="P26" t="s">
        <v>29</v>
      </c>
    </row>
    <row r="27" spans="1:16" x14ac:dyDescent="0.3">
      <c r="A27" t="s">
        <v>91</v>
      </c>
      <c r="B27">
        <v>46026</v>
      </c>
      <c r="C27" t="s">
        <v>17</v>
      </c>
      <c r="D27" t="s">
        <v>76</v>
      </c>
      <c r="E27" t="s">
        <v>19</v>
      </c>
      <c r="F27">
        <v>143</v>
      </c>
      <c r="G27">
        <v>194.56</v>
      </c>
      <c r="H27">
        <v>46086</v>
      </c>
      <c r="I27">
        <v>46093</v>
      </c>
      <c r="J27" t="s">
        <v>20</v>
      </c>
      <c r="K27" t="s">
        <v>21</v>
      </c>
      <c r="L27" t="s">
        <v>28</v>
      </c>
      <c r="M27">
        <f t="shared" si="0"/>
        <v>27822.080000000002</v>
      </c>
      <c r="N27">
        <f t="shared" si="1"/>
        <v>67</v>
      </c>
      <c r="O27" t="str">
        <f ca="1">IFERROR((G27-_xludf.XLOOKUP(D27,Articles!A:A,Articles!D:D))/_xludf.XLOOKUP(D27,Articles!A:A,Articles!D:D),"")</f>
        <v/>
      </c>
      <c r="P27" t="s">
        <v>29</v>
      </c>
    </row>
    <row r="28" spans="1:16" x14ac:dyDescent="0.3">
      <c r="A28" t="s">
        <v>92</v>
      </c>
      <c r="B28">
        <v>45979</v>
      </c>
      <c r="C28" t="s">
        <v>50</v>
      </c>
      <c r="D28" t="s">
        <v>93</v>
      </c>
      <c r="E28" t="s">
        <v>19</v>
      </c>
      <c r="F28">
        <v>170</v>
      </c>
      <c r="G28">
        <v>407.06</v>
      </c>
      <c r="H28">
        <v>46004</v>
      </c>
      <c r="I28">
        <v>46016</v>
      </c>
      <c r="J28" t="s">
        <v>20</v>
      </c>
      <c r="K28" t="s">
        <v>21</v>
      </c>
      <c r="L28" t="s">
        <v>33</v>
      </c>
      <c r="M28">
        <f t="shared" si="0"/>
        <v>69200.2</v>
      </c>
      <c r="N28">
        <f t="shared" si="1"/>
        <v>37</v>
      </c>
      <c r="O28" t="str">
        <f ca="1">IFERROR((G28-_xludf.XLOOKUP(D28,Articles!A:A,Articles!D:D))/_xludf.XLOOKUP(D28,Articles!A:A,Articles!D:D),"")</f>
        <v/>
      </c>
      <c r="P28" t="s">
        <v>29</v>
      </c>
    </row>
    <row r="29" spans="1:16" x14ac:dyDescent="0.3">
      <c r="A29" t="s">
        <v>94</v>
      </c>
      <c r="B29">
        <v>45970</v>
      </c>
      <c r="C29" t="s">
        <v>95</v>
      </c>
      <c r="D29" t="s">
        <v>78</v>
      </c>
      <c r="E29" t="s">
        <v>27</v>
      </c>
      <c r="F29">
        <v>79</v>
      </c>
      <c r="G29">
        <v>54.71</v>
      </c>
      <c r="H29">
        <v>46010</v>
      </c>
      <c r="I29">
        <v>46010</v>
      </c>
      <c r="J29" t="s">
        <v>20</v>
      </c>
      <c r="K29" t="s">
        <v>21</v>
      </c>
      <c r="L29" t="s">
        <v>28</v>
      </c>
      <c r="M29">
        <f t="shared" si="0"/>
        <v>4322.09</v>
      </c>
      <c r="N29">
        <f t="shared" si="1"/>
        <v>40</v>
      </c>
      <c r="O29" t="str">
        <f ca="1">IFERROR((G29-_xludf.XLOOKUP(D29,Articles!A:A,Articles!D:D))/_xludf.XLOOKUP(D29,Articles!A:A,Articles!D:D),"")</f>
        <v/>
      </c>
      <c r="P29" t="s">
        <v>29</v>
      </c>
    </row>
    <row r="30" spans="1:16" x14ac:dyDescent="0.3">
      <c r="A30" t="s">
        <v>96</v>
      </c>
      <c r="B30">
        <v>45971</v>
      </c>
      <c r="C30" t="s">
        <v>72</v>
      </c>
      <c r="D30" t="s">
        <v>36</v>
      </c>
      <c r="E30" t="s">
        <v>19</v>
      </c>
      <c r="F30">
        <v>186</v>
      </c>
      <c r="G30">
        <v>387.67</v>
      </c>
      <c r="H30">
        <v>45987</v>
      </c>
      <c r="I30">
        <v>45988</v>
      </c>
      <c r="J30" t="s">
        <v>52</v>
      </c>
      <c r="K30" t="s">
        <v>21</v>
      </c>
      <c r="L30" t="s">
        <v>28</v>
      </c>
      <c r="M30">
        <f t="shared" si="0"/>
        <v>72106.62000000001</v>
      </c>
      <c r="N30">
        <f t="shared" si="1"/>
        <v>17</v>
      </c>
      <c r="O30" t="str">
        <f ca="1">IFERROR((G30-_xludf.XLOOKUP(D30,Articles!A:A,Articles!D:D))/_xludf.XLOOKUP(D30,Articles!A:A,Articles!D:D),"")</f>
        <v/>
      </c>
      <c r="P30" t="s">
        <v>34</v>
      </c>
    </row>
    <row r="31" spans="1:16" x14ac:dyDescent="0.3">
      <c r="A31" t="s">
        <v>97</v>
      </c>
      <c r="B31">
        <v>45978</v>
      </c>
      <c r="C31" t="s">
        <v>87</v>
      </c>
      <c r="D31" t="s">
        <v>98</v>
      </c>
      <c r="E31" t="s">
        <v>19</v>
      </c>
      <c r="F31">
        <v>4</v>
      </c>
      <c r="G31">
        <v>361.56</v>
      </c>
      <c r="H31">
        <v>45987</v>
      </c>
      <c r="I31">
        <v>45988</v>
      </c>
      <c r="J31" t="s">
        <v>41</v>
      </c>
      <c r="K31" t="s">
        <v>21</v>
      </c>
      <c r="L31" t="s">
        <v>28</v>
      </c>
      <c r="M31">
        <f t="shared" si="0"/>
        <v>1446.24</v>
      </c>
      <c r="N31">
        <f t="shared" si="1"/>
        <v>10</v>
      </c>
      <c r="O31" t="str">
        <f ca="1">IFERROR((G31-_xludf.XLOOKUP(D31,Articles!A:A,Articles!D:D))/_xludf.XLOOKUP(D31,Articles!A:A,Articles!D:D),"")</f>
        <v/>
      </c>
      <c r="P31" t="s">
        <v>29</v>
      </c>
    </row>
    <row r="32" spans="1:16" x14ac:dyDescent="0.3">
      <c r="A32" t="s">
        <v>99</v>
      </c>
      <c r="B32">
        <v>45927</v>
      </c>
      <c r="C32" t="s">
        <v>72</v>
      </c>
      <c r="D32" t="s">
        <v>100</v>
      </c>
      <c r="E32" t="s">
        <v>56</v>
      </c>
      <c r="F32">
        <v>224</v>
      </c>
      <c r="G32">
        <v>79.7</v>
      </c>
      <c r="H32">
        <v>45955</v>
      </c>
      <c r="I32">
        <v>45962</v>
      </c>
      <c r="J32" t="s">
        <v>20</v>
      </c>
      <c r="K32" t="s">
        <v>21</v>
      </c>
      <c r="L32" t="s">
        <v>33</v>
      </c>
      <c r="M32">
        <f t="shared" si="0"/>
        <v>17852.8</v>
      </c>
      <c r="N32">
        <f t="shared" si="1"/>
        <v>35</v>
      </c>
      <c r="O32" t="str">
        <f ca="1">IFERROR((G32-_xludf.XLOOKUP(D32,Articles!A:A,Articles!D:D))/_xludf.XLOOKUP(D32,Articles!A:A,Articles!D:D),"")</f>
        <v/>
      </c>
      <c r="P32" t="s">
        <v>23</v>
      </c>
    </row>
    <row r="33" spans="1:16" x14ac:dyDescent="0.3">
      <c r="A33" t="s">
        <v>101</v>
      </c>
      <c r="B33">
        <v>46111</v>
      </c>
      <c r="C33" t="s">
        <v>25</v>
      </c>
      <c r="D33" t="s">
        <v>102</v>
      </c>
      <c r="E33" t="s">
        <v>19</v>
      </c>
      <c r="F33">
        <v>17</v>
      </c>
      <c r="G33">
        <v>384.16</v>
      </c>
      <c r="H33">
        <v>46168</v>
      </c>
      <c r="I33">
        <v>46165</v>
      </c>
      <c r="J33" t="s">
        <v>41</v>
      </c>
      <c r="K33" t="s">
        <v>21</v>
      </c>
      <c r="L33" t="s">
        <v>48</v>
      </c>
      <c r="M33">
        <f t="shared" si="0"/>
        <v>6530.72</v>
      </c>
      <c r="N33">
        <f t="shared" si="1"/>
        <v>54</v>
      </c>
      <c r="O33" t="str">
        <f ca="1">IFERROR((G33-_xludf.XLOOKUP(D33,Articles!A:A,Articles!D:D))/_xludf.XLOOKUP(D33,Articles!A:A,Articles!D:D),"")</f>
        <v/>
      </c>
      <c r="P33" t="s">
        <v>34</v>
      </c>
    </row>
    <row r="34" spans="1:16" x14ac:dyDescent="0.3">
      <c r="A34" t="s">
        <v>103</v>
      </c>
      <c r="B34">
        <v>46043</v>
      </c>
      <c r="C34" t="s">
        <v>25</v>
      </c>
      <c r="D34" t="s">
        <v>104</v>
      </c>
      <c r="E34" t="s">
        <v>37</v>
      </c>
      <c r="F34">
        <v>196</v>
      </c>
      <c r="G34">
        <v>176.03</v>
      </c>
      <c r="H34">
        <v>46105</v>
      </c>
      <c r="I34">
        <v>46105</v>
      </c>
      <c r="J34" t="s">
        <v>20</v>
      </c>
      <c r="K34" t="s">
        <v>21</v>
      </c>
      <c r="L34" t="s">
        <v>33</v>
      </c>
      <c r="M34">
        <f t="shared" si="0"/>
        <v>34501.879999999997</v>
      </c>
      <c r="N34">
        <f t="shared" si="1"/>
        <v>62</v>
      </c>
      <c r="O34" t="str">
        <f ca="1">IFERROR((G34-_xludf.XLOOKUP(D34,Articles!A:A,Articles!D:D))/_xludf.XLOOKUP(D34,Articles!A:A,Articles!D:D),"")</f>
        <v/>
      </c>
      <c r="P34" t="s">
        <v>29</v>
      </c>
    </row>
    <row r="35" spans="1:16" x14ac:dyDescent="0.3">
      <c r="A35" t="s">
        <v>105</v>
      </c>
      <c r="B35">
        <v>45979</v>
      </c>
      <c r="C35" t="s">
        <v>17</v>
      </c>
      <c r="D35" t="s">
        <v>81</v>
      </c>
      <c r="E35" t="s">
        <v>27</v>
      </c>
      <c r="F35">
        <v>146</v>
      </c>
      <c r="G35">
        <v>431.75</v>
      </c>
      <c r="H35">
        <v>46041</v>
      </c>
      <c r="I35">
        <v>46040</v>
      </c>
      <c r="J35" t="s">
        <v>62</v>
      </c>
      <c r="K35" t="s">
        <v>21</v>
      </c>
      <c r="L35" t="s">
        <v>33</v>
      </c>
      <c r="M35">
        <f t="shared" si="0"/>
        <v>63035.5</v>
      </c>
      <c r="N35">
        <f t="shared" si="1"/>
        <v>61</v>
      </c>
      <c r="O35" t="str">
        <f ca="1">IFERROR((G35-_xludf.XLOOKUP(D35,Articles!A:A,Articles!D:D))/_xludf.XLOOKUP(D35,Articles!A:A,Articles!D:D),"")</f>
        <v/>
      </c>
      <c r="P35" t="s">
        <v>29</v>
      </c>
    </row>
    <row r="36" spans="1:16" x14ac:dyDescent="0.3">
      <c r="A36" t="s">
        <v>106</v>
      </c>
      <c r="B36">
        <v>45941</v>
      </c>
      <c r="C36" t="s">
        <v>39</v>
      </c>
      <c r="D36" t="s">
        <v>40</v>
      </c>
      <c r="E36" t="s">
        <v>37</v>
      </c>
      <c r="F36">
        <v>62</v>
      </c>
      <c r="G36">
        <v>111.38</v>
      </c>
      <c r="H36">
        <v>45982</v>
      </c>
      <c r="I36">
        <v>45982</v>
      </c>
      <c r="J36" t="s">
        <v>41</v>
      </c>
      <c r="K36" t="s">
        <v>21</v>
      </c>
      <c r="L36" t="s">
        <v>33</v>
      </c>
      <c r="M36">
        <f t="shared" si="0"/>
        <v>6905.5599999999995</v>
      </c>
      <c r="N36">
        <f t="shared" si="1"/>
        <v>41</v>
      </c>
      <c r="O36" t="str">
        <f ca="1">IFERROR((G36-_xludf.XLOOKUP(D36,Articles!A:A,Articles!D:D))/_xludf.XLOOKUP(D36,Articles!A:A,Articles!D:D),"")</f>
        <v/>
      </c>
      <c r="P36" t="s">
        <v>29</v>
      </c>
    </row>
    <row r="37" spans="1:16" x14ac:dyDescent="0.3">
      <c r="A37" t="s">
        <v>107</v>
      </c>
      <c r="B37">
        <v>45974</v>
      </c>
      <c r="C37" t="s">
        <v>50</v>
      </c>
      <c r="D37" t="s">
        <v>18</v>
      </c>
      <c r="E37" t="s">
        <v>27</v>
      </c>
      <c r="F37">
        <v>181</v>
      </c>
      <c r="G37">
        <v>473.5</v>
      </c>
      <c r="H37">
        <v>46029</v>
      </c>
      <c r="I37">
        <v>46028</v>
      </c>
      <c r="J37" t="s">
        <v>20</v>
      </c>
      <c r="K37" t="s">
        <v>21</v>
      </c>
      <c r="L37" t="s">
        <v>45</v>
      </c>
      <c r="M37">
        <f t="shared" si="0"/>
        <v>85703.5</v>
      </c>
      <c r="N37">
        <f t="shared" si="1"/>
        <v>54</v>
      </c>
      <c r="O37" t="str">
        <f ca="1">IFERROR((G37-_xludf.XLOOKUP(D37,Articles!A:A,Articles!D:D))/_xludf.XLOOKUP(D37,Articles!A:A,Articles!D:D),"")</f>
        <v/>
      </c>
      <c r="P37" t="s">
        <v>23</v>
      </c>
    </row>
    <row r="38" spans="1:16" x14ac:dyDescent="0.3">
      <c r="A38" t="s">
        <v>108</v>
      </c>
      <c r="B38">
        <v>45958</v>
      </c>
      <c r="C38" t="s">
        <v>109</v>
      </c>
      <c r="D38" t="s">
        <v>110</v>
      </c>
      <c r="E38" t="s">
        <v>19</v>
      </c>
      <c r="F38">
        <v>166</v>
      </c>
      <c r="G38">
        <v>377.11</v>
      </c>
      <c r="H38">
        <v>46001</v>
      </c>
      <c r="J38" t="s">
        <v>41</v>
      </c>
      <c r="K38" t="s">
        <v>21</v>
      </c>
      <c r="L38" t="s">
        <v>22</v>
      </c>
      <c r="M38">
        <f t="shared" si="0"/>
        <v>62600.26</v>
      </c>
      <c r="N38" t="str">
        <f t="shared" si="1"/>
        <v/>
      </c>
      <c r="O38" t="str">
        <f ca="1">IFERROR((G38-_xludf.XLOOKUP(D38,Articles!A:A,Articles!D:D))/_xludf.XLOOKUP(D38,Articles!A:A,Articles!D:D),"")</f>
        <v/>
      </c>
      <c r="P38" t="s">
        <v>29</v>
      </c>
    </row>
    <row r="39" spans="1:16" x14ac:dyDescent="0.3">
      <c r="A39" t="s">
        <v>111</v>
      </c>
      <c r="B39">
        <v>46013</v>
      </c>
      <c r="C39" t="s">
        <v>83</v>
      </c>
      <c r="D39" t="s">
        <v>112</v>
      </c>
      <c r="E39" t="s">
        <v>37</v>
      </c>
      <c r="F39">
        <v>0</v>
      </c>
      <c r="G39">
        <v>435.35</v>
      </c>
      <c r="H39">
        <v>46071</v>
      </c>
      <c r="I39">
        <v>46075</v>
      </c>
      <c r="J39" t="s">
        <v>62</v>
      </c>
      <c r="K39" t="s">
        <v>21</v>
      </c>
      <c r="L39" t="s">
        <v>45</v>
      </c>
      <c r="M39">
        <f t="shared" si="0"/>
        <v>0</v>
      </c>
      <c r="N39">
        <f t="shared" si="1"/>
        <v>62</v>
      </c>
      <c r="O39" t="str">
        <f ca="1">IFERROR((G39-_xludf.XLOOKUP(D39,Articles!A:A,Articles!D:D))/_xludf.XLOOKUP(D39,Articles!A:A,Articles!D:D),"")</f>
        <v/>
      </c>
      <c r="P39" t="s">
        <v>29</v>
      </c>
    </row>
    <row r="40" spans="1:16" x14ac:dyDescent="0.3">
      <c r="A40" t="s">
        <v>113</v>
      </c>
      <c r="B40">
        <v>45911</v>
      </c>
      <c r="C40" t="s">
        <v>114</v>
      </c>
      <c r="D40" t="s">
        <v>73</v>
      </c>
      <c r="E40" t="s">
        <v>56</v>
      </c>
      <c r="F40">
        <v>228</v>
      </c>
      <c r="G40">
        <v>281.10000000000002</v>
      </c>
      <c r="H40">
        <v>45933</v>
      </c>
      <c r="I40">
        <v>45940</v>
      </c>
      <c r="J40" t="s">
        <v>41</v>
      </c>
      <c r="K40" t="s">
        <v>21</v>
      </c>
      <c r="L40" t="s">
        <v>33</v>
      </c>
      <c r="M40">
        <f t="shared" si="0"/>
        <v>64090.8</v>
      </c>
      <c r="N40">
        <f t="shared" si="1"/>
        <v>29</v>
      </c>
      <c r="O40" t="str">
        <f ca="1">IFERROR((G40-_xludf.XLOOKUP(D40,Articles!A:A,Articles!D:D))/_xludf.XLOOKUP(D40,Articles!A:A,Articles!D:D),"")</f>
        <v/>
      </c>
      <c r="P40" t="s">
        <v>29</v>
      </c>
    </row>
    <row r="41" spans="1:16" x14ac:dyDescent="0.3">
      <c r="A41" t="s">
        <v>115</v>
      </c>
      <c r="B41">
        <v>46096</v>
      </c>
      <c r="C41" t="s">
        <v>95</v>
      </c>
      <c r="D41" t="s">
        <v>112</v>
      </c>
      <c r="E41" t="s">
        <v>37</v>
      </c>
      <c r="F41">
        <v>194</v>
      </c>
      <c r="G41">
        <v>396.66</v>
      </c>
      <c r="H41">
        <v>46158</v>
      </c>
      <c r="I41">
        <v>46165</v>
      </c>
      <c r="J41" t="s">
        <v>62</v>
      </c>
      <c r="K41" t="s">
        <v>21</v>
      </c>
      <c r="L41" t="s">
        <v>45</v>
      </c>
      <c r="M41">
        <f t="shared" si="0"/>
        <v>76952.040000000008</v>
      </c>
      <c r="N41">
        <f t="shared" si="1"/>
        <v>69</v>
      </c>
      <c r="O41" t="str">
        <f ca="1">IFERROR((G41-_xludf.XLOOKUP(D41,Articles!A:A,Articles!D:D))/_xludf.XLOOKUP(D41,Articles!A:A,Articles!D:D),"")</f>
        <v/>
      </c>
      <c r="P41" t="s">
        <v>29</v>
      </c>
    </row>
    <row r="42" spans="1:16" x14ac:dyDescent="0.3">
      <c r="A42" t="s">
        <v>116</v>
      </c>
      <c r="B42">
        <v>45990</v>
      </c>
      <c r="C42" t="s">
        <v>72</v>
      </c>
      <c r="D42" t="s">
        <v>73</v>
      </c>
      <c r="E42" t="s">
        <v>37</v>
      </c>
      <c r="F42">
        <v>105</v>
      </c>
      <c r="G42">
        <v>272.60000000000002</v>
      </c>
      <c r="H42">
        <v>46017</v>
      </c>
      <c r="I42">
        <v>46016</v>
      </c>
      <c r="J42" t="s">
        <v>62</v>
      </c>
      <c r="K42" t="s">
        <v>21</v>
      </c>
      <c r="L42" t="s">
        <v>33</v>
      </c>
      <c r="M42">
        <f t="shared" si="0"/>
        <v>28623.000000000004</v>
      </c>
      <c r="N42">
        <f t="shared" si="1"/>
        <v>26</v>
      </c>
      <c r="O42" t="str">
        <f ca="1">IFERROR((G42-_xludf.XLOOKUP(D42,Articles!A:A,Articles!D:D))/_xludf.XLOOKUP(D42,Articles!A:A,Articles!D:D),"")</f>
        <v/>
      </c>
      <c r="P42" t="s">
        <v>29</v>
      </c>
    </row>
    <row r="43" spans="1:16" x14ac:dyDescent="0.3">
      <c r="A43" t="s">
        <v>117</v>
      </c>
      <c r="B43">
        <v>46109</v>
      </c>
      <c r="C43" t="s">
        <v>31</v>
      </c>
      <c r="D43" t="s">
        <v>40</v>
      </c>
      <c r="E43" t="s">
        <v>37</v>
      </c>
      <c r="F43">
        <v>195</v>
      </c>
      <c r="G43">
        <v>200.27</v>
      </c>
      <c r="H43">
        <v>46156</v>
      </c>
      <c r="I43">
        <v>46155</v>
      </c>
      <c r="J43" t="s">
        <v>20</v>
      </c>
      <c r="K43" t="s">
        <v>21</v>
      </c>
      <c r="L43" t="s">
        <v>22</v>
      </c>
      <c r="M43">
        <f t="shared" si="0"/>
        <v>39052.65</v>
      </c>
      <c r="N43">
        <f t="shared" si="1"/>
        <v>46</v>
      </c>
      <c r="O43" t="str">
        <f ca="1">IFERROR((G43-_xludf.XLOOKUP(D43,Articles!A:A,Articles!D:D))/_xludf.XLOOKUP(D43,Articles!A:A,Articles!D:D),"")</f>
        <v/>
      </c>
      <c r="P43" t="s">
        <v>29</v>
      </c>
    </row>
    <row r="44" spans="1:16" x14ac:dyDescent="0.3">
      <c r="A44" t="s">
        <v>118</v>
      </c>
      <c r="B44">
        <v>46019</v>
      </c>
      <c r="C44" t="s">
        <v>109</v>
      </c>
      <c r="D44" t="s">
        <v>65</v>
      </c>
      <c r="E44" t="s">
        <v>37</v>
      </c>
      <c r="F44">
        <v>106</v>
      </c>
      <c r="G44">
        <v>193.01</v>
      </c>
      <c r="H44">
        <v>46034</v>
      </c>
      <c r="I44">
        <v>46058</v>
      </c>
      <c r="J44" t="s">
        <v>20</v>
      </c>
      <c r="K44" t="s">
        <v>21</v>
      </c>
      <c r="L44" t="s">
        <v>48</v>
      </c>
      <c r="M44">
        <f t="shared" si="0"/>
        <v>20459.059999999998</v>
      </c>
      <c r="N44">
        <f t="shared" si="1"/>
        <v>39</v>
      </c>
      <c r="O44" t="str">
        <f ca="1">IFERROR((G44-_xludf.XLOOKUP(D44,Articles!A:A,Articles!D:D))/_xludf.XLOOKUP(D44,Articles!A:A,Articles!D:D),"")</f>
        <v/>
      </c>
      <c r="P44" t="s">
        <v>29</v>
      </c>
    </row>
    <row r="45" spans="1:16" x14ac:dyDescent="0.3">
      <c r="A45" t="s">
        <v>119</v>
      </c>
      <c r="B45">
        <v>46041</v>
      </c>
      <c r="C45" t="s">
        <v>67</v>
      </c>
      <c r="D45" t="s">
        <v>36</v>
      </c>
      <c r="E45" t="s">
        <v>27</v>
      </c>
      <c r="F45">
        <v>34</v>
      </c>
      <c r="G45">
        <v>425.96</v>
      </c>
      <c r="H45">
        <v>46056</v>
      </c>
      <c r="I45">
        <v>46063</v>
      </c>
      <c r="J45" t="s">
        <v>41</v>
      </c>
      <c r="K45" t="s">
        <v>21</v>
      </c>
      <c r="L45" t="s">
        <v>28</v>
      </c>
      <c r="M45">
        <f t="shared" si="0"/>
        <v>14482.64</v>
      </c>
      <c r="N45">
        <f t="shared" si="1"/>
        <v>22</v>
      </c>
      <c r="O45" t="str">
        <f ca="1">IFERROR((G45-_xludf.XLOOKUP(D45,Articles!A:A,Articles!D:D))/_xludf.XLOOKUP(D45,Articles!A:A,Articles!D:D),"")</f>
        <v/>
      </c>
      <c r="P45" t="s">
        <v>23</v>
      </c>
    </row>
    <row r="46" spans="1:16" x14ac:dyDescent="0.3">
      <c r="A46" t="s">
        <v>120</v>
      </c>
      <c r="B46">
        <v>45904</v>
      </c>
      <c r="C46" t="s">
        <v>109</v>
      </c>
      <c r="D46" t="s">
        <v>121</v>
      </c>
      <c r="E46" t="s">
        <v>27</v>
      </c>
      <c r="F46">
        <v>142</v>
      </c>
      <c r="G46">
        <v>87.64</v>
      </c>
      <c r="H46">
        <v>45948</v>
      </c>
      <c r="I46">
        <v>45947</v>
      </c>
      <c r="J46" t="s">
        <v>20</v>
      </c>
      <c r="K46" t="s">
        <v>21</v>
      </c>
      <c r="L46" t="s">
        <v>45</v>
      </c>
      <c r="M46">
        <f t="shared" si="0"/>
        <v>12444.88</v>
      </c>
      <c r="N46">
        <f t="shared" si="1"/>
        <v>43</v>
      </c>
      <c r="O46" t="str">
        <f ca="1">IFERROR((G46-_xludf.XLOOKUP(D46,Articles!A:A,Articles!D:D))/_xludf.XLOOKUP(D46,Articles!A:A,Articles!D:D),"")</f>
        <v/>
      </c>
      <c r="P46" t="s">
        <v>29</v>
      </c>
    </row>
    <row r="47" spans="1:16" x14ac:dyDescent="0.3">
      <c r="A47" t="s">
        <v>122</v>
      </c>
      <c r="B47">
        <v>46081</v>
      </c>
      <c r="C47" t="s">
        <v>123</v>
      </c>
      <c r="D47" t="s">
        <v>124</v>
      </c>
      <c r="E47" t="s">
        <v>37</v>
      </c>
      <c r="F47">
        <v>70</v>
      </c>
      <c r="G47">
        <v>213.19</v>
      </c>
      <c r="H47">
        <v>46145</v>
      </c>
      <c r="I47">
        <v>46152</v>
      </c>
      <c r="J47" t="s">
        <v>41</v>
      </c>
      <c r="K47" t="s">
        <v>21</v>
      </c>
      <c r="L47" t="s">
        <v>28</v>
      </c>
      <c r="M47">
        <f t="shared" si="0"/>
        <v>14923.3</v>
      </c>
      <c r="N47">
        <f t="shared" si="1"/>
        <v>71</v>
      </c>
      <c r="O47" t="str">
        <f ca="1">IFERROR((G47-_xludf.XLOOKUP(D47,Articles!A:A,Articles!D:D))/_xludf.XLOOKUP(D47,Articles!A:A,Articles!D:D),"")</f>
        <v/>
      </c>
      <c r="P47" t="s">
        <v>29</v>
      </c>
    </row>
    <row r="48" spans="1:16" x14ac:dyDescent="0.3">
      <c r="A48" t="s">
        <v>125</v>
      </c>
      <c r="B48">
        <v>46092</v>
      </c>
      <c r="C48" t="s">
        <v>123</v>
      </c>
      <c r="D48" t="s">
        <v>126</v>
      </c>
      <c r="E48" t="s">
        <v>19</v>
      </c>
      <c r="F48">
        <v>226</v>
      </c>
      <c r="G48">
        <v>283.29000000000002</v>
      </c>
      <c r="H48">
        <v>46120</v>
      </c>
      <c r="I48">
        <v>46121</v>
      </c>
      <c r="J48" t="s">
        <v>20</v>
      </c>
      <c r="K48" t="s">
        <v>21</v>
      </c>
      <c r="L48" t="s">
        <v>22</v>
      </c>
      <c r="M48">
        <f t="shared" si="0"/>
        <v>64023.540000000008</v>
      </c>
      <c r="N48">
        <f t="shared" si="1"/>
        <v>29</v>
      </c>
      <c r="O48" t="str">
        <f ca="1">IFERROR((G48-_xludf.XLOOKUP(D48,Articles!A:A,Articles!D:D))/_xludf.XLOOKUP(D48,Articles!A:A,Articles!D:D),"")</f>
        <v/>
      </c>
      <c r="P48" t="s">
        <v>34</v>
      </c>
    </row>
    <row r="49" spans="1:16" x14ac:dyDescent="0.3">
      <c r="A49" t="s">
        <v>127</v>
      </c>
      <c r="B49">
        <v>45973</v>
      </c>
      <c r="C49" t="s">
        <v>80</v>
      </c>
      <c r="D49" t="s">
        <v>128</v>
      </c>
      <c r="E49" t="s">
        <v>37</v>
      </c>
      <c r="F49">
        <v>186</v>
      </c>
      <c r="G49">
        <v>409.81</v>
      </c>
      <c r="H49">
        <v>46022</v>
      </c>
      <c r="I49">
        <v>46029</v>
      </c>
      <c r="J49" t="s">
        <v>62</v>
      </c>
      <c r="K49" t="s">
        <v>21</v>
      </c>
      <c r="L49" t="s">
        <v>33</v>
      </c>
      <c r="M49">
        <f t="shared" si="0"/>
        <v>76224.66</v>
      </c>
      <c r="N49">
        <f t="shared" si="1"/>
        <v>56</v>
      </c>
      <c r="O49" t="str">
        <f ca="1">IFERROR((G49-_xludf.XLOOKUP(D49,Articles!A:A,Articles!D:D))/_xludf.XLOOKUP(D49,Articles!A:A,Articles!D:D),"")</f>
        <v/>
      </c>
      <c r="P49" t="s">
        <v>29</v>
      </c>
    </row>
    <row r="50" spans="1:16" x14ac:dyDescent="0.3">
      <c r="A50" t="s">
        <v>129</v>
      </c>
      <c r="B50">
        <v>46096</v>
      </c>
      <c r="C50" t="s">
        <v>109</v>
      </c>
      <c r="D50" t="s">
        <v>130</v>
      </c>
      <c r="E50" t="s">
        <v>37</v>
      </c>
      <c r="F50">
        <v>140</v>
      </c>
      <c r="G50">
        <v>248.33</v>
      </c>
      <c r="H50">
        <v>46124</v>
      </c>
      <c r="I50">
        <v>46146</v>
      </c>
      <c r="J50" t="s">
        <v>52</v>
      </c>
      <c r="K50" t="s">
        <v>21</v>
      </c>
      <c r="L50" t="s">
        <v>28</v>
      </c>
      <c r="M50">
        <f t="shared" si="0"/>
        <v>34766.200000000004</v>
      </c>
      <c r="N50">
        <f t="shared" si="1"/>
        <v>50</v>
      </c>
      <c r="O50" t="str">
        <f ca="1">IFERROR((G50-_xludf.XLOOKUP(D50,Articles!A:A,Articles!D:D))/_xludf.XLOOKUP(D50,Articles!A:A,Articles!D:D),"")</f>
        <v/>
      </c>
      <c r="P50" t="s">
        <v>29</v>
      </c>
    </row>
    <row r="51" spans="1:16" x14ac:dyDescent="0.3">
      <c r="A51" t="s">
        <v>131</v>
      </c>
      <c r="B51">
        <v>45982</v>
      </c>
      <c r="C51" t="s">
        <v>132</v>
      </c>
      <c r="D51" t="s">
        <v>32</v>
      </c>
      <c r="E51" t="s">
        <v>27</v>
      </c>
      <c r="F51">
        <v>191</v>
      </c>
      <c r="G51">
        <v>246.09</v>
      </c>
      <c r="H51">
        <v>46010</v>
      </c>
      <c r="I51">
        <v>46014</v>
      </c>
      <c r="J51" t="s">
        <v>52</v>
      </c>
      <c r="K51" t="s">
        <v>21</v>
      </c>
      <c r="L51" t="s">
        <v>45</v>
      </c>
      <c r="M51">
        <f t="shared" si="0"/>
        <v>47003.19</v>
      </c>
      <c r="N51">
        <f t="shared" si="1"/>
        <v>32</v>
      </c>
      <c r="O51" t="str">
        <f ca="1">IFERROR((G51-_xludf.XLOOKUP(D51,Articles!A:A,Articles!D:D))/_xludf.XLOOKUP(D51,Articles!A:A,Articles!D:D),"")</f>
        <v/>
      </c>
      <c r="P51" t="s">
        <v>23</v>
      </c>
    </row>
    <row r="52" spans="1:16" x14ac:dyDescent="0.3">
      <c r="A52" t="s">
        <v>133</v>
      </c>
      <c r="B52">
        <v>46029</v>
      </c>
      <c r="C52" t="s">
        <v>134</v>
      </c>
      <c r="D52" t="s">
        <v>18</v>
      </c>
      <c r="E52" t="s">
        <v>56</v>
      </c>
      <c r="F52">
        <v>248</v>
      </c>
      <c r="G52">
        <v>321.39</v>
      </c>
      <c r="H52">
        <v>46078</v>
      </c>
      <c r="I52">
        <v>46085</v>
      </c>
      <c r="J52" t="s">
        <v>41</v>
      </c>
      <c r="K52" t="s">
        <v>21</v>
      </c>
      <c r="L52" t="s">
        <v>28</v>
      </c>
      <c r="M52">
        <f t="shared" si="0"/>
        <v>79704.72</v>
      </c>
      <c r="N52">
        <f t="shared" si="1"/>
        <v>56</v>
      </c>
      <c r="O52" t="str">
        <f ca="1">IFERROR((G52-_xludf.XLOOKUP(D52,Articles!A:A,Articles!D:D))/_xludf.XLOOKUP(D52,Articles!A:A,Articles!D:D),"")</f>
        <v/>
      </c>
      <c r="P52" t="s">
        <v>23</v>
      </c>
    </row>
    <row r="53" spans="1:16" x14ac:dyDescent="0.3">
      <c r="A53" t="s">
        <v>135</v>
      </c>
      <c r="B53">
        <v>45920</v>
      </c>
      <c r="C53" t="s">
        <v>75</v>
      </c>
      <c r="D53" t="s">
        <v>32</v>
      </c>
      <c r="E53" t="s">
        <v>56</v>
      </c>
      <c r="F53">
        <v>121</v>
      </c>
      <c r="G53">
        <v>269.05</v>
      </c>
      <c r="H53">
        <v>45946</v>
      </c>
      <c r="I53">
        <v>45948</v>
      </c>
      <c r="J53" t="s">
        <v>20</v>
      </c>
      <c r="K53" t="s">
        <v>21</v>
      </c>
      <c r="L53" t="s">
        <v>33</v>
      </c>
      <c r="M53">
        <f t="shared" si="0"/>
        <v>32555.050000000003</v>
      </c>
      <c r="N53">
        <f t="shared" si="1"/>
        <v>28</v>
      </c>
      <c r="O53" t="str">
        <f ca="1">IFERROR((G53-_xludf.XLOOKUP(D53,Articles!A:A,Articles!D:D))/_xludf.XLOOKUP(D53,Articles!A:A,Articles!D:D),"")</f>
        <v/>
      </c>
      <c r="P53" t="s">
        <v>29</v>
      </c>
    </row>
    <row r="54" spans="1:16" x14ac:dyDescent="0.3">
      <c r="A54" t="s">
        <v>136</v>
      </c>
      <c r="B54">
        <v>45998</v>
      </c>
      <c r="C54" t="s">
        <v>109</v>
      </c>
      <c r="D54" t="s">
        <v>137</v>
      </c>
      <c r="E54" t="s">
        <v>19</v>
      </c>
      <c r="F54">
        <v>245</v>
      </c>
      <c r="G54">
        <v>151.94999999999999</v>
      </c>
      <c r="H54">
        <v>46058</v>
      </c>
      <c r="I54">
        <v>46070</v>
      </c>
      <c r="J54" t="s">
        <v>41</v>
      </c>
      <c r="K54" t="s">
        <v>21</v>
      </c>
      <c r="L54" t="s">
        <v>28</v>
      </c>
      <c r="M54">
        <f t="shared" si="0"/>
        <v>37227.75</v>
      </c>
      <c r="N54">
        <f t="shared" si="1"/>
        <v>72</v>
      </c>
      <c r="O54" t="str">
        <f ca="1">IFERROR((G54-_xludf.XLOOKUP(D54,Articles!A:A,Articles!D:D))/_xludf.XLOOKUP(D54,Articles!A:A,Articles!D:D),"")</f>
        <v/>
      </c>
      <c r="P54" t="s">
        <v>29</v>
      </c>
    </row>
    <row r="55" spans="1:16" x14ac:dyDescent="0.3">
      <c r="A55" t="s">
        <v>138</v>
      </c>
      <c r="B55">
        <v>45926</v>
      </c>
      <c r="C55" t="s">
        <v>17</v>
      </c>
      <c r="D55" t="s">
        <v>73</v>
      </c>
      <c r="E55" t="s">
        <v>56</v>
      </c>
      <c r="F55">
        <v>195</v>
      </c>
      <c r="G55">
        <v>298.45999999999998</v>
      </c>
      <c r="H55">
        <v>45944</v>
      </c>
      <c r="I55">
        <v>45951</v>
      </c>
      <c r="J55" t="s">
        <v>41</v>
      </c>
      <c r="K55" t="s">
        <v>21</v>
      </c>
      <c r="L55" t="s">
        <v>48</v>
      </c>
      <c r="M55">
        <f t="shared" si="0"/>
        <v>58199.7</v>
      </c>
      <c r="N55">
        <f t="shared" si="1"/>
        <v>25</v>
      </c>
      <c r="O55" t="str">
        <f ca="1">IFERROR((G55-_xludf.XLOOKUP(D55,Articles!A:A,Articles!D:D))/_xludf.XLOOKUP(D55,Articles!A:A,Articles!D:D),"")</f>
        <v/>
      </c>
      <c r="P55" t="s">
        <v>23</v>
      </c>
    </row>
    <row r="56" spans="1:16" x14ac:dyDescent="0.3">
      <c r="A56" t="s">
        <v>139</v>
      </c>
      <c r="B56">
        <v>45976</v>
      </c>
      <c r="C56" t="s">
        <v>75</v>
      </c>
      <c r="D56" t="s">
        <v>26</v>
      </c>
      <c r="E56" t="s">
        <v>27</v>
      </c>
      <c r="F56">
        <v>92</v>
      </c>
      <c r="G56">
        <v>386.43</v>
      </c>
      <c r="H56">
        <v>45996</v>
      </c>
      <c r="I56">
        <v>45996</v>
      </c>
      <c r="J56" t="s">
        <v>20</v>
      </c>
      <c r="K56" t="s">
        <v>21</v>
      </c>
      <c r="L56" t="s">
        <v>28</v>
      </c>
      <c r="M56">
        <f t="shared" si="0"/>
        <v>35551.56</v>
      </c>
      <c r="N56">
        <f t="shared" si="1"/>
        <v>20</v>
      </c>
      <c r="O56" t="str">
        <f ca="1">IFERROR((G56-_xludf.XLOOKUP(D56,Articles!A:A,Articles!D:D))/_xludf.XLOOKUP(D56,Articles!A:A,Articles!D:D),"")</f>
        <v/>
      </c>
      <c r="P56" t="s">
        <v>29</v>
      </c>
    </row>
    <row r="57" spans="1:16" x14ac:dyDescent="0.3">
      <c r="A57" t="s">
        <v>140</v>
      </c>
      <c r="B57">
        <v>46057</v>
      </c>
      <c r="C57" t="s">
        <v>39</v>
      </c>
      <c r="D57" t="s">
        <v>141</v>
      </c>
      <c r="E57" t="s">
        <v>27</v>
      </c>
      <c r="F57">
        <v>223</v>
      </c>
      <c r="G57">
        <v>199.02</v>
      </c>
      <c r="H57">
        <v>46097</v>
      </c>
      <c r="I57">
        <v>46097</v>
      </c>
      <c r="J57" t="s">
        <v>20</v>
      </c>
      <c r="K57" t="s">
        <v>21</v>
      </c>
      <c r="L57" t="s">
        <v>45</v>
      </c>
      <c r="M57">
        <f t="shared" si="0"/>
        <v>44381.46</v>
      </c>
      <c r="N57">
        <f t="shared" si="1"/>
        <v>40</v>
      </c>
      <c r="O57" t="str">
        <f ca="1">IFERROR((G57-_xludf.XLOOKUP(D57,Articles!A:A,Articles!D:D))/_xludf.XLOOKUP(D57,Articles!A:A,Articles!D:D),"")</f>
        <v/>
      </c>
      <c r="P57" t="s">
        <v>29</v>
      </c>
    </row>
    <row r="58" spans="1:16" x14ac:dyDescent="0.3">
      <c r="A58" t="s">
        <v>142</v>
      </c>
      <c r="B58">
        <v>46018</v>
      </c>
      <c r="C58" t="s">
        <v>67</v>
      </c>
      <c r="D58" t="s">
        <v>100</v>
      </c>
      <c r="E58" t="s">
        <v>37</v>
      </c>
      <c r="F58">
        <v>66</v>
      </c>
      <c r="G58">
        <v>149.29</v>
      </c>
      <c r="H58">
        <v>46049</v>
      </c>
      <c r="I58">
        <v>46050</v>
      </c>
      <c r="J58" t="s">
        <v>20</v>
      </c>
      <c r="K58" t="s">
        <v>21</v>
      </c>
      <c r="L58" t="s">
        <v>33</v>
      </c>
      <c r="M58">
        <f t="shared" si="0"/>
        <v>9853.14</v>
      </c>
      <c r="N58">
        <f t="shared" si="1"/>
        <v>32</v>
      </c>
      <c r="O58" t="str">
        <f ca="1">IFERROR((G58-_xludf.XLOOKUP(D58,Articles!A:A,Articles!D:D))/_xludf.XLOOKUP(D58,Articles!A:A,Articles!D:D),"")</f>
        <v/>
      </c>
      <c r="P58" t="s">
        <v>29</v>
      </c>
    </row>
    <row r="59" spans="1:16" x14ac:dyDescent="0.3">
      <c r="A59" t="s">
        <v>143</v>
      </c>
      <c r="B59">
        <v>46064</v>
      </c>
      <c r="C59" t="s">
        <v>83</v>
      </c>
      <c r="D59" t="s">
        <v>81</v>
      </c>
      <c r="E59" t="s">
        <v>37</v>
      </c>
      <c r="F59">
        <v>247</v>
      </c>
      <c r="G59">
        <v>407.16</v>
      </c>
      <c r="H59">
        <v>46121</v>
      </c>
      <c r="I59">
        <v>46128</v>
      </c>
      <c r="J59" t="s">
        <v>62</v>
      </c>
      <c r="K59" t="s">
        <v>21</v>
      </c>
      <c r="L59" t="s">
        <v>45</v>
      </c>
      <c r="M59">
        <f t="shared" si="0"/>
        <v>100568.52</v>
      </c>
      <c r="N59">
        <f t="shared" si="1"/>
        <v>64</v>
      </c>
      <c r="O59" t="str">
        <f ca="1">IFERROR((G59-_xludf.XLOOKUP(D59,Articles!A:A,Articles!D:D))/_xludf.XLOOKUP(D59,Articles!A:A,Articles!D:D),"")</f>
        <v/>
      </c>
      <c r="P59" t="s">
        <v>29</v>
      </c>
    </row>
    <row r="60" spans="1:16" x14ac:dyDescent="0.3">
      <c r="A60" t="s">
        <v>144</v>
      </c>
      <c r="B60">
        <v>45998</v>
      </c>
      <c r="C60" t="s">
        <v>50</v>
      </c>
      <c r="D60" t="s">
        <v>145</v>
      </c>
      <c r="E60" t="s">
        <v>37</v>
      </c>
      <c r="F60">
        <v>147</v>
      </c>
      <c r="G60">
        <v>225.31</v>
      </c>
      <c r="H60">
        <v>46022</v>
      </c>
      <c r="I60">
        <v>46023</v>
      </c>
      <c r="J60" t="s">
        <v>41</v>
      </c>
      <c r="K60" t="s">
        <v>21</v>
      </c>
      <c r="L60" t="s">
        <v>33</v>
      </c>
      <c r="M60">
        <f t="shared" si="0"/>
        <v>33120.57</v>
      </c>
      <c r="N60">
        <f t="shared" si="1"/>
        <v>25</v>
      </c>
      <c r="O60" t="str">
        <f ca="1">IFERROR((G60-_xludf.XLOOKUP(D60,Articles!A:A,Articles!D:D))/_xludf.XLOOKUP(D60,Articles!A:A,Articles!D:D),"")</f>
        <v/>
      </c>
      <c r="P60" t="s">
        <v>34</v>
      </c>
    </row>
    <row r="61" spans="1:16" x14ac:dyDescent="0.3">
      <c r="A61" t="s">
        <v>146</v>
      </c>
      <c r="B61">
        <v>46076</v>
      </c>
      <c r="C61" t="s">
        <v>75</v>
      </c>
      <c r="D61" t="s">
        <v>65</v>
      </c>
      <c r="E61" t="s">
        <v>27</v>
      </c>
      <c r="F61">
        <v>200</v>
      </c>
      <c r="G61">
        <v>239.16</v>
      </c>
      <c r="H61">
        <v>46083</v>
      </c>
      <c r="J61" t="s">
        <v>62</v>
      </c>
      <c r="K61" t="s">
        <v>21</v>
      </c>
      <c r="L61" t="s">
        <v>22</v>
      </c>
      <c r="M61">
        <f t="shared" si="0"/>
        <v>47832</v>
      </c>
      <c r="N61" t="str">
        <f t="shared" si="1"/>
        <v/>
      </c>
      <c r="O61" t="str">
        <f ca="1">IFERROR((G61-_xludf.XLOOKUP(D61,Articles!A:A,Articles!D:D))/_xludf.XLOOKUP(D61,Articles!A:A,Articles!D:D),"")</f>
        <v/>
      </c>
      <c r="P61" t="s">
        <v>23</v>
      </c>
    </row>
    <row r="62" spans="1:16" x14ac:dyDescent="0.3">
      <c r="A62" t="s">
        <v>147</v>
      </c>
      <c r="B62">
        <v>46063</v>
      </c>
      <c r="C62" t="s">
        <v>50</v>
      </c>
      <c r="D62" t="s">
        <v>148</v>
      </c>
      <c r="E62" t="s">
        <v>56</v>
      </c>
      <c r="F62">
        <v>49</v>
      </c>
      <c r="G62">
        <v>117.62</v>
      </c>
      <c r="H62">
        <v>46101</v>
      </c>
      <c r="I62">
        <v>46101</v>
      </c>
      <c r="J62" t="s">
        <v>20</v>
      </c>
      <c r="K62" t="s">
        <v>21</v>
      </c>
      <c r="L62" t="s">
        <v>33</v>
      </c>
      <c r="M62">
        <f t="shared" si="0"/>
        <v>5763.38</v>
      </c>
      <c r="N62">
        <f t="shared" si="1"/>
        <v>38</v>
      </c>
      <c r="O62" t="str">
        <f ca="1">IFERROR((G62-_xludf.XLOOKUP(D62,Articles!A:A,Articles!D:D))/_xludf.XLOOKUP(D62,Articles!A:A,Articles!D:D),"")</f>
        <v/>
      </c>
      <c r="P62" t="s">
        <v>23</v>
      </c>
    </row>
    <row r="63" spans="1:16" x14ac:dyDescent="0.3">
      <c r="A63" t="s">
        <v>149</v>
      </c>
      <c r="B63">
        <v>46049</v>
      </c>
      <c r="C63" t="s">
        <v>132</v>
      </c>
      <c r="D63" t="s">
        <v>150</v>
      </c>
      <c r="E63" t="s">
        <v>27</v>
      </c>
      <c r="F63">
        <v>-5</v>
      </c>
      <c r="G63">
        <v>137.33000000000001</v>
      </c>
      <c r="H63">
        <v>46091</v>
      </c>
      <c r="I63">
        <v>46092</v>
      </c>
      <c r="J63" t="s">
        <v>20</v>
      </c>
      <c r="K63" t="s">
        <v>21</v>
      </c>
      <c r="L63" t="s">
        <v>28</v>
      </c>
      <c r="M63">
        <f t="shared" si="0"/>
        <v>-686.65000000000009</v>
      </c>
      <c r="N63">
        <f t="shared" si="1"/>
        <v>43</v>
      </c>
      <c r="O63" t="str">
        <f ca="1">IFERROR((G63-_xludf.XLOOKUP(D63,Articles!A:A,Articles!D:D))/_xludf.XLOOKUP(D63,Articles!A:A,Articles!D:D),"")</f>
        <v/>
      </c>
      <c r="P63" t="s">
        <v>29</v>
      </c>
    </row>
    <row r="64" spans="1:16" x14ac:dyDescent="0.3">
      <c r="A64" t="s">
        <v>151</v>
      </c>
      <c r="B64">
        <v>46036</v>
      </c>
      <c r="C64" t="s">
        <v>64</v>
      </c>
      <c r="D64" t="s">
        <v>69</v>
      </c>
      <c r="E64" t="s">
        <v>19</v>
      </c>
      <c r="F64">
        <v>129</v>
      </c>
      <c r="G64">
        <v>190.17</v>
      </c>
      <c r="H64">
        <v>46091</v>
      </c>
      <c r="I64">
        <v>46092</v>
      </c>
      <c r="J64" t="s">
        <v>62</v>
      </c>
      <c r="K64" t="s">
        <v>21</v>
      </c>
      <c r="L64" t="s">
        <v>33</v>
      </c>
      <c r="M64">
        <f t="shared" si="0"/>
        <v>24531.929999999997</v>
      </c>
      <c r="N64">
        <f t="shared" si="1"/>
        <v>56</v>
      </c>
      <c r="O64" t="str">
        <f ca="1">IFERROR((G64-_xludf.XLOOKUP(D64,Articles!A:A,Articles!D:D))/_xludf.XLOOKUP(D64,Articles!A:A,Articles!D:D),"")</f>
        <v/>
      </c>
      <c r="P64" t="s">
        <v>23</v>
      </c>
    </row>
    <row r="65" spans="1:16" x14ac:dyDescent="0.3">
      <c r="A65" t="s">
        <v>152</v>
      </c>
      <c r="B65">
        <v>45920</v>
      </c>
      <c r="C65" t="s">
        <v>95</v>
      </c>
      <c r="D65" t="s">
        <v>110</v>
      </c>
      <c r="E65" t="s">
        <v>19</v>
      </c>
      <c r="F65">
        <v>37</v>
      </c>
      <c r="G65">
        <v>453.64</v>
      </c>
      <c r="H65">
        <v>45962</v>
      </c>
      <c r="I65">
        <v>45966</v>
      </c>
      <c r="J65" t="s">
        <v>52</v>
      </c>
      <c r="K65" t="s">
        <v>21</v>
      </c>
      <c r="L65" t="s">
        <v>48</v>
      </c>
      <c r="M65">
        <f t="shared" si="0"/>
        <v>16784.68</v>
      </c>
      <c r="N65">
        <f t="shared" si="1"/>
        <v>46</v>
      </c>
      <c r="O65" t="str">
        <f ca="1">IFERROR((G65-_xludf.XLOOKUP(D65,Articles!A:A,Articles!D:D))/_xludf.XLOOKUP(D65,Articles!A:A,Articles!D:D),"")</f>
        <v/>
      </c>
      <c r="P65" t="s">
        <v>34</v>
      </c>
    </row>
    <row r="66" spans="1:16" x14ac:dyDescent="0.3">
      <c r="A66" t="s">
        <v>153</v>
      </c>
      <c r="B66">
        <v>45968</v>
      </c>
      <c r="C66" t="s">
        <v>80</v>
      </c>
      <c r="D66" t="s">
        <v>93</v>
      </c>
      <c r="E66" t="s">
        <v>19</v>
      </c>
      <c r="F66">
        <v>138</v>
      </c>
      <c r="G66">
        <v>506.45</v>
      </c>
      <c r="H66">
        <v>45991</v>
      </c>
      <c r="I66">
        <v>45992</v>
      </c>
      <c r="J66" t="s">
        <v>20</v>
      </c>
      <c r="K66" t="s">
        <v>21</v>
      </c>
      <c r="L66" t="s">
        <v>48</v>
      </c>
      <c r="M66">
        <f t="shared" ref="M66:M129" si="2">F66*G66</f>
        <v>69890.099999999991</v>
      </c>
      <c r="N66">
        <f t="shared" ref="N66:N129" si="3">IF(I66="","",I66-B66)</f>
        <v>24</v>
      </c>
      <c r="O66" t="str">
        <f ca="1">IFERROR((G66-_xludf.XLOOKUP(D66,Articles!A:A,Articles!D:D))/_xludf.XLOOKUP(D66,Articles!A:A,Articles!D:D),"")</f>
        <v/>
      </c>
      <c r="P66" t="s">
        <v>34</v>
      </c>
    </row>
    <row r="67" spans="1:16" x14ac:dyDescent="0.3">
      <c r="A67" t="s">
        <v>154</v>
      </c>
      <c r="B67">
        <v>46021</v>
      </c>
      <c r="C67" t="s">
        <v>75</v>
      </c>
      <c r="D67" t="s">
        <v>155</v>
      </c>
      <c r="E67" t="s">
        <v>56</v>
      </c>
      <c r="F67">
        <v>7</v>
      </c>
      <c r="G67">
        <v>166.56</v>
      </c>
      <c r="H67">
        <v>46082</v>
      </c>
      <c r="I67">
        <v>46084</v>
      </c>
      <c r="J67" t="s">
        <v>62</v>
      </c>
      <c r="K67" t="s">
        <v>21</v>
      </c>
      <c r="L67" t="s">
        <v>45</v>
      </c>
      <c r="M67">
        <f t="shared" si="2"/>
        <v>1165.92</v>
      </c>
      <c r="N67">
        <f t="shared" si="3"/>
        <v>63</v>
      </c>
      <c r="O67" t="str">
        <f ca="1">IFERROR((G67-_xludf.XLOOKUP(D67,Articles!A:A,Articles!D:D))/_xludf.XLOOKUP(D67,Articles!A:A,Articles!D:D),"")</f>
        <v/>
      </c>
      <c r="P67" t="s">
        <v>29</v>
      </c>
    </row>
    <row r="68" spans="1:16" x14ac:dyDescent="0.3">
      <c r="A68" t="s">
        <v>156</v>
      </c>
      <c r="B68">
        <v>46067</v>
      </c>
      <c r="C68" t="s">
        <v>83</v>
      </c>
      <c r="D68" t="s">
        <v>78</v>
      </c>
      <c r="E68" t="s">
        <v>56</v>
      </c>
      <c r="F68">
        <v>105</v>
      </c>
      <c r="G68">
        <v>52.32</v>
      </c>
      <c r="H68">
        <v>46106</v>
      </c>
      <c r="I68">
        <v>46103</v>
      </c>
      <c r="J68" t="s">
        <v>20</v>
      </c>
      <c r="K68" t="s">
        <v>21</v>
      </c>
      <c r="L68" t="s">
        <v>28</v>
      </c>
      <c r="M68">
        <f t="shared" si="2"/>
        <v>5493.6</v>
      </c>
      <c r="N68">
        <f t="shared" si="3"/>
        <v>36</v>
      </c>
      <c r="O68" t="str">
        <f ca="1">IFERROR((G68-_xludf.XLOOKUP(D68,Articles!A:A,Articles!D:D))/_xludf.XLOOKUP(D68,Articles!A:A,Articles!D:D),"")</f>
        <v/>
      </c>
      <c r="P68" t="s">
        <v>23</v>
      </c>
    </row>
    <row r="69" spans="1:16" x14ac:dyDescent="0.3">
      <c r="A69" t="s">
        <v>157</v>
      </c>
      <c r="B69">
        <v>46000</v>
      </c>
      <c r="C69" t="s">
        <v>158</v>
      </c>
      <c r="D69" t="s">
        <v>69</v>
      </c>
      <c r="E69" t="s">
        <v>37</v>
      </c>
      <c r="F69">
        <v>117</v>
      </c>
      <c r="G69">
        <v>162.63</v>
      </c>
      <c r="H69">
        <v>46061</v>
      </c>
      <c r="I69">
        <v>46065</v>
      </c>
      <c r="J69" t="s">
        <v>20</v>
      </c>
      <c r="K69" t="s">
        <v>21</v>
      </c>
      <c r="L69" t="s">
        <v>48</v>
      </c>
      <c r="M69">
        <f t="shared" si="2"/>
        <v>19027.71</v>
      </c>
      <c r="N69">
        <f t="shared" si="3"/>
        <v>65</v>
      </c>
      <c r="O69" t="str">
        <f ca="1">IFERROR((G69-_xludf.XLOOKUP(D69,Articles!A:A,Articles!D:D))/_xludf.XLOOKUP(D69,Articles!A:A,Articles!D:D),"")</f>
        <v/>
      </c>
      <c r="P69" t="s">
        <v>29</v>
      </c>
    </row>
    <row r="70" spans="1:16" x14ac:dyDescent="0.3">
      <c r="A70" t="s">
        <v>159</v>
      </c>
      <c r="B70">
        <v>46005</v>
      </c>
      <c r="C70" t="s">
        <v>114</v>
      </c>
      <c r="D70" t="s">
        <v>47</v>
      </c>
      <c r="E70" t="s">
        <v>27</v>
      </c>
      <c r="F70">
        <v>241</v>
      </c>
      <c r="G70">
        <v>74.739999999999995</v>
      </c>
      <c r="H70">
        <v>46024</v>
      </c>
      <c r="I70">
        <v>46026</v>
      </c>
      <c r="J70" t="s">
        <v>41</v>
      </c>
      <c r="K70" t="s">
        <v>21</v>
      </c>
      <c r="L70" t="s">
        <v>33</v>
      </c>
      <c r="M70">
        <f t="shared" si="2"/>
        <v>18012.34</v>
      </c>
      <c r="N70">
        <f t="shared" si="3"/>
        <v>21</v>
      </c>
      <c r="O70" t="str">
        <f ca="1">IFERROR((G70-_xludf.XLOOKUP(D70,Articles!A:A,Articles!D:D))/_xludf.XLOOKUP(D70,Articles!A:A,Articles!D:D),"")</f>
        <v/>
      </c>
      <c r="P70" t="s">
        <v>29</v>
      </c>
    </row>
    <row r="71" spans="1:16" x14ac:dyDescent="0.3">
      <c r="A71" t="s">
        <v>160</v>
      </c>
      <c r="B71">
        <v>46040</v>
      </c>
      <c r="C71" t="s">
        <v>64</v>
      </c>
      <c r="D71" t="s">
        <v>145</v>
      </c>
      <c r="E71" t="s">
        <v>56</v>
      </c>
      <c r="F71">
        <v>231</v>
      </c>
      <c r="G71">
        <v>268.99</v>
      </c>
      <c r="H71">
        <v>46065</v>
      </c>
      <c r="I71">
        <v>46062</v>
      </c>
      <c r="J71" t="s">
        <v>20</v>
      </c>
      <c r="K71" t="s">
        <v>21</v>
      </c>
      <c r="L71" t="s">
        <v>45</v>
      </c>
      <c r="M71">
        <f t="shared" si="2"/>
        <v>62136.69</v>
      </c>
      <c r="N71">
        <f t="shared" si="3"/>
        <v>22</v>
      </c>
      <c r="O71" t="str">
        <f ca="1">IFERROR((G71-_xludf.XLOOKUP(D71,Articles!A:A,Articles!D:D))/_xludf.XLOOKUP(D71,Articles!A:A,Articles!D:D),"")</f>
        <v/>
      </c>
      <c r="P71" t="s">
        <v>29</v>
      </c>
    </row>
    <row r="72" spans="1:16" x14ac:dyDescent="0.3">
      <c r="A72" t="s">
        <v>161</v>
      </c>
      <c r="B72">
        <v>46065</v>
      </c>
      <c r="C72" t="s">
        <v>43</v>
      </c>
      <c r="D72" t="s">
        <v>73</v>
      </c>
      <c r="E72" t="s">
        <v>27</v>
      </c>
      <c r="F72">
        <v>164</v>
      </c>
      <c r="G72">
        <v>425.57</v>
      </c>
      <c r="H72">
        <v>46082</v>
      </c>
      <c r="I72">
        <v>46079</v>
      </c>
      <c r="J72" t="s">
        <v>20</v>
      </c>
      <c r="K72" t="s">
        <v>21</v>
      </c>
      <c r="L72" t="s">
        <v>22</v>
      </c>
      <c r="M72">
        <f t="shared" si="2"/>
        <v>69793.48</v>
      </c>
      <c r="N72">
        <f t="shared" si="3"/>
        <v>14</v>
      </c>
      <c r="O72" t="str">
        <f ca="1">IFERROR((G72-_xludf.XLOOKUP(D72,Articles!A:A,Articles!D:D))/_xludf.XLOOKUP(D72,Articles!A:A,Articles!D:D),"")</f>
        <v/>
      </c>
      <c r="P72" t="s">
        <v>29</v>
      </c>
    </row>
    <row r="73" spans="1:16" x14ac:dyDescent="0.3">
      <c r="A73" t="s">
        <v>162</v>
      </c>
      <c r="B73">
        <v>46113</v>
      </c>
      <c r="C73" t="s">
        <v>39</v>
      </c>
      <c r="D73" t="s">
        <v>36</v>
      </c>
      <c r="E73" t="s">
        <v>27</v>
      </c>
      <c r="F73">
        <v>196</v>
      </c>
      <c r="G73">
        <v>383.66</v>
      </c>
      <c r="H73">
        <v>46130</v>
      </c>
      <c r="I73">
        <v>46154</v>
      </c>
      <c r="J73" t="s">
        <v>62</v>
      </c>
      <c r="K73" t="s">
        <v>21</v>
      </c>
      <c r="L73" t="s">
        <v>22</v>
      </c>
      <c r="M73">
        <f t="shared" si="2"/>
        <v>75197.36</v>
      </c>
      <c r="N73">
        <f t="shared" si="3"/>
        <v>41</v>
      </c>
      <c r="O73" t="str">
        <f ca="1">IFERROR((G73-_xludf.XLOOKUP(D73,Articles!A:A,Articles!D:D))/_xludf.XLOOKUP(D73,Articles!A:A,Articles!D:D),"")</f>
        <v/>
      </c>
      <c r="P73" t="s">
        <v>29</v>
      </c>
    </row>
    <row r="74" spans="1:16" x14ac:dyDescent="0.3">
      <c r="A74" t="s">
        <v>163</v>
      </c>
      <c r="B74">
        <v>46120</v>
      </c>
      <c r="C74" t="s">
        <v>67</v>
      </c>
      <c r="D74" t="s">
        <v>65</v>
      </c>
      <c r="E74" t="s">
        <v>56</v>
      </c>
      <c r="F74">
        <v>38</v>
      </c>
      <c r="G74">
        <v>255.4</v>
      </c>
      <c r="H74">
        <v>46135</v>
      </c>
      <c r="I74">
        <v>46136</v>
      </c>
      <c r="J74" t="s">
        <v>20</v>
      </c>
      <c r="K74" t="s">
        <v>21</v>
      </c>
      <c r="L74" t="s">
        <v>28</v>
      </c>
      <c r="M74">
        <f t="shared" si="2"/>
        <v>9705.2000000000007</v>
      </c>
      <c r="N74">
        <f t="shared" si="3"/>
        <v>16</v>
      </c>
      <c r="O74" t="str">
        <f ca="1">IFERROR((G74-_xludf.XLOOKUP(D74,Articles!A:A,Articles!D:D))/_xludf.XLOOKUP(D74,Articles!A:A,Articles!D:D),"")</f>
        <v/>
      </c>
      <c r="P74" t="s">
        <v>29</v>
      </c>
    </row>
    <row r="75" spans="1:16" x14ac:dyDescent="0.3">
      <c r="A75" t="s">
        <v>164</v>
      </c>
      <c r="B75">
        <v>46103</v>
      </c>
      <c r="C75" t="s">
        <v>64</v>
      </c>
      <c r="D75" t="s">
        <v>65</v>
      </c>
      <c r="E75" t="s">
        <v>37</v>
      </c>
      <c r="F75">
        <v>202</v>
      </c>
      <c r="G75">
        <v>279.17</v>
      </c>
      <c r="H75">
        <v>46115</v>
      </c>
      <c r="I75">
        <v>46112</v>
      </c>
      <c r="J75" t="s">
        <v>41</v>
      </c>
      <c r="K75" t="s">
        <v>21</v>
      </c>
      <c r="L75" t="s">
        <v>22</v>
      </c>
      <c r="M75">
        <f t="shared" si="2"/>
        <v>56392.340000000004</v>
      </c>
      <c r="N75">
        <f t="shared" si="3"/>
        <v>9</v>
      </c>
      <c r="O75" t="str">
        <f ca="1">IFERROR((G75-_xludf.XLOOKUP(D75,Articles!A:A,Articles!D:D))/_xludf.XLOOKUP(D75,Articles!A:A,Articles!D:D),"")</f>
        <v/>
      </c>
      <c r="P75" t="s">
        <v>29</v>
      </c>
    </row>
    <row r="76" spans="1:16" x14ac:dyDescent="0.3">
      <c r="A76" t="s">
        <v>165</v>
      </c>
      <c r="B76">
        <v>46022</v>
      </c>
      <c r="C76" t="s">
        <v>39</v>
      </c>
      <c r="D76" t="s">
        <v>110</v>
      </c>
      <c r="E76" t="s">
        <v>56</v>
      </c>
      <c r="F76">
        <v>115</v>
      </c>
      <c r="G76">
        <v>456.66</v>
      </c>
      <c r="H76">
        <v>46069</v>
      </c>
      <c r="I76">
        <v>46068</v>
      </c>
      <c r="J76" t="s">
        <v>20</v>
      </c>
      <c r="K76" t="s">
        <v>21</v>
      </c>
      <c r="L76" t="s">
        <v>22</v>
      </c>
      <c r="M76">
        <f t="shared" si="2"/>
        <v>52515.9</v>
      </c>
      <c r="N76">
        <f t="shared" si="3"/>
        <v>46</v>
      </c>
      <c r="O76" t="str">
        <f ca="1">IFERROR((G76-_xludf.XLOOKUP(D76,Articles!A:A,Articles!D:D))/_xludf.XLOOKUP(D76,Articles!A:A,Articles!D:D),"")</f>
        <v/>
      </c>
      <c r="P76" t="s">
        <v>29</v>
      </c>
    </row>
    <row r="77" spans="1:16" x14ac:dyDescent="0.3">
      <c r="A77" t="s">
        <v>166</v>
      </c>
      <c r="B77">
        <v>46065</v>
      </c>
      <c r="C77" t="s">
        <v>95</v>
      </c>
      <c r="D77" t="s">
        <v>121</v>
      </c>
      <c r="E77" t="s">
        <v>37</v>
      </c>
      <c r="F77">
        <v>247</v>
      </c>
      <c r="G77">
        <v>77.45</v>
      </c>
      <c r="H77">
        <v>46113</v>
      </c>
      <c r="I77">
        <v>46117</v>
      </c>
      <c r="J77" t="s">
        <v>20</v>
      </c>
      <c r="K77" t="s">
        <v>21</v>
      </c>
      <c r="L77" t="s">
        <v>48</v>
      </c>
      <c r="M77">
        <f t="shared" si="2"/>
        <v>19130.150000000001</v>
      </c>
      <c r="N77">
        <f t="shared" si="3"/>
        <v>52</v>
      </c>
      <c r="O77" t="str">
        <f ca="1">IFERROR((G77-_xludf.XLOOKUP(D77,Articles!A:A,Articles!D:D))/_xludf.XLOOKUP(D77,Articles!A:A,Articles!D:D),"")</f>
        <v/>
      </c>
      <c r="P77" t="s">
        <v>29</v>
      </c>
    </row>
    <row r="78" spans="1:16" x14ac:dyDescent="0.3">
      <c r="A78" t="s">
        <v>167</v>
      </c>
      <c r="B78">
        <v>46056</v>
      </c>
      <c r="C78" t="s">
        <v>85</v>
      </c>
      <c r="D78" t="s">
        <v>73</v>
      </c>
      <c r="E78" t="s">
        <v>19</v>
      </c>
      <c r="F78">
        <v>38</v>
      </c>
      <c r="G78">
        <v>249.56</v>
      </c>
      <c r="H78">
        <v>46077</v>
      </c>
      <c r="I78">
        <v>46089</v>
      </c>
      <c r="J78" t="s">
        <v>20</v>
      </c>
      <c r="K78" t="s">
        <v>21</v>
      </c>
      <c r="L78" t="s">
        <v>45</v>
      </c>
      <c r="M78">
        <f t="shared" si="2"/>
        <v>9483.2800000000007</v>
      </c>
      <c r="N78">
        <f t="shared" si="3"/>
        <v>33</v>
      </c>
      <c r="O78" t="str">
        <f ca="1">IFERROR((G78-_xludf.XLOOKUP(D78,Articles!A:A,Articles!D:D))/_xludf.XLOOKUP(D78,Articles!A:A,Articles!D:D),"")</f>
        <v/>
      </c>
      <c r="P78" t="s">
        <v>29</v>
      </c>
    </row>
    <row r="79" spans="1:16" x14ac:dyDescent="0.3">
      <c r="A79" t="s">
        <v>168</v>
      </c>
      <c r="B79">
        <v>46011</v>
      </c>
      <c r="C79" t="s">
        <v>114</v>
      </c>
      <c r="D79" t="s">
        <v>54</v>
      </c>
      <c r="E79" t="s">
        <v>37</v>
      </c>
      <c r="F79">
        <v>26</v>
      </c>
      <c r="G79">
        <v>278.42</v>
      </c>
      <c r="H79">
        <v>46022</v>
      </c>
      <c r="I79">
        <v>46038</v>
      </c>
      <c r="J79" t="s">
        <v>20</v>
      </c>
      <c r="K79" t="s">
        <v>21</v>
      </c>
      <c r="L79" t="s">
        <v>28</v>
      </c>
      <c r="M79">
        <f t="shared" si="2"/>
        <v>7238.92</v>
      </c>
      <c r="N79">
        <f t="shared" si="3"/>
        <v>27</v>
      </c>
      <c r="O79" t="str">
        <f ca="1">IFERROR((G79-_xludf.XLOOKUP(D79,Articles!A:A,Articles!D:D))/_xludf.XLOOKUP(D79,Articles!A:A,Articles!D:D),"")</f>
        <v/>
      </c>
      <c r="P79" t="s">
        <v>29</v>
      </c>
    </row>
    <row r="80" spans="1:16" x14ac:dyDescent="0.3">
      <c r="A80" t="s">
        <v>169</v>
      </c>
      <c r="B80">
        <v>46112</v>
      </c>
      <c r="C80" t="s">
        <v>67</v>
      </c>
      <c r="D80" t="s">
        <v>32</v>
      </c>
      <c r="E80" t="s">
        <v>19</v>
      </c>
      <c r="F80">
        <v>117</v>
      </c>
      <c r="G80">
        <v>240.56</v>
      </c>
      <c r="H80">
        <v>46135</v>
      </c>
      <c r="I80">
        <v>46137</v>
      </c>
      <c r="J80" t="s">
        <v>20</v>
      </c>
      <c r="K80" t="s">
        <v>21</v>
      </c>
      <c r="L80" t="s">
        <v>28</v>
      </c>
      <c r="M80">
        <f t="shared" si="2"/>
        <v>28145.52</v>
      </c>
      <c r="N80">
        <f t="shared" si="3"/>
        <v>25</v>
      </c>
      <c r="O80" t="str">
        <f ca="1">IFERROR((G80-_xludf.XLOOKUP(D80,Articles!A:A,Articles!D:D))/_xludf.XLOOKUP(D80,Articles!A:A,Articles!D:D),"")</f>
        <v/>
      </c>
      <c r="P80" t="s">
        <v>29</v>
      </c>
    </row>
    <row r="81" spans="1:16" x14ac:dyDescent="0.3">
      <c r="A81" t="s">
        <v>170</v>
      </c>
      <c r="B81">
        <v>45918</v>
      </c>
      <c r="C81" t="s">
        <v>72</v>
      </c>
      <c r="D81" t="s">
        <v>155</v>
      </c>
      <c r="E81" t="s">
        <v>27</v>
      </c>
      <c r="F81">
        <v>24</v>
      </c>
      <c r="G81">
        <v>176.79</v>
      </c>
      <c r="H81">
        <v>45972</v>
      </c>
      <c r="J81" t="s">
        <v>41</v>
      </c>
      <c r="K81" t="s">
        <v>21</v>
      </c>
      <c r="L81" t="s">
        <v>22</v>
      </c>
      <c r="M81">
        <f t="shared" si="2"/>
        <v>4242.96</v>
      </c>
      <c r="N81" t="str">
        <f t="shared" si="3"/>
        <v/>
      </c>
      <c r="O81" t="str">
        <f ca="1">IFERROR((G81-_xludf.XLOOKUP(D81,Articles!A:A,Articles!D:D))/_xludf.XLOOKUP(D81,Articles!A:A,Articles!D:D),"")</f>
        <v/>
      </c>
      <c r="P81" t="s">
        <v>29</v>
      </c>
    </row>
    <row r="82" spans="1:16" x14ac:dyDescent="0.3">
      <c r="A82" t="s">
        <v>171</v>
      </c>
      <c r="B82">
        <v>46044</v>
      </c>
      <c r="C82" t="s">
        <v>95</v>
      </c>
      <c r="D82" t="s">
        <v>61</v>
      </c>
      <c r="E82" t="s">
        <v>37</v>
      </c>
      <c r="F82">
        <v>144</v>
      </c>
      <c r="G82">
        <v>191.33</v>
      </c>
      <c r="H82">
        <v>46081</v>
      </c>
      <c r="I82">
        <v>46085</v>
      </c>
      <c r="J82" t="s">
        <v>20</v>
      </c>
      <c r="K82" t="s">
        <v>21</v>
      </c>
      <c r="L82" t="s">
        <v>48</v>
      </c>
      <c r="M82">
        <f t="shared" si="2"/>
        <v>27551.52</v>
      </c>
      <c r="N82">
        <f t="shared" si="3"/>
        <v>41</v>
      </c>
      <c r="O82" t="str">
        <f ca="1">IFERROR((G82-_xludf.XLOOKUP(D82,Articles!A:A,Articles!D:D))/_xludf.XLOOKUP(D82,Articles!A:A,Articles!D:D),"")</f>
        <v/>
      </c>
      <c r="P82" t="s">
        <v>29</v>
      </c>
    </row>
    <row r="83" spans="1:16" x14ac:dyDescent="0.3">
      <c r="A83" t="s">
        <v>172</v>
      </c>
      <c r="B83">
        <v>45980</v>
      </c>
      <c r="C83" t="s">
        <v>114</v>
      </c>
      <c r="D83" t="s">
        <v>173</v>
      </c>
      <c r="E83" t="s">
        <v>56</v>
      </c>
      <c r="F83">
        <v>91</v>
      </c>
      <c r="G83">
        <v>192.73</v>
      </c>
      <c r="H83">
        <v>46045</v>
      </c>
      <c r="I83">
        <v>46045</v>
      </c>
      <c r="J83" t="s">
        <v>41</v>
      </c>
      <c r="K83" t="s">
        <v>21</v>
      </c>
      <c r="L83" t="s">
        <v>33</v>
      </c>
      <c r="M83">
        <f t="shared" si="2"/>
        <v>17538.43</v>
      </c>
      <c r="N83">
        <f t="shared" si="3"/>
        <v>65</v>
      </c>
      <c r="O83" t="str">
        <f ca="1">IFERROR((G83-_xludf.XLOOKUP(D83,Articles!A:A,Articles!D:D))/_xludf.XLOOKUP(D83,Articles!A:A,Articles!D:D),"")</f>
        <v/>
      </c>
      <c r="P83" t="s">
        <v>29</v>
      </c>
    </row>
    <row r="84" spans="1:16" x14ac:dyDescent="0.3">
      <c r="A84" t="s">
        <v>174</v>
      </c>
      <c r="B84">
        <v>45930</v>
      </c>
      <c r="C84" t="s">
        <v>64</v>
      </c>
      <c r="D84" t="s">
        <v>51</v>
      </c>
      <c r="E84" t="s">
        <v>56</v>
      </c>
      <c r="F84">
        <v>196</v>
      </c>
      <c r="G84">
        <v>282.67</v>
      </c>
      <c r="H84">
        <v>45958</v>
      </c>
      <c r="I84">
        <v>45962</v>
      </c>
      <c r="J84" t="s">
        <v>62</v>
      </c>
      <c r="K84" t="s">
        <v>21</v>
      </c>
      <c r="L84" t="s">
        <v>22</v>
      </c>
      <c r="M84">
        <f t="shared" si="2"/>
        <v>55403.32</v>
      </c>
      <c r="N84">
        <f t="shared" si="3"/>
        <v>32</v>
      </c>
      <c r="O84" t="str">
        <f ca="1">IFERROR((G84-_xludf.XLOOKUP(D84,Articles!A:A,Articles!D:D))/_xludf.XLOOKUP(D84,Articles!A:A,Articles!D:D),"")</f>
        <v/>
      </c>
      <c r="P84" t="s">
        <v>23</v>
      </c>
    </row>
    <row r="85" spans="1:16" x14ac:dyDescent="0.3">
      <c r="A85" t="s">
        <v>175</v>
      </c>
      <c r="B85">
        <v>45908</v>
      </c>
      <c r="C85" t="s">
        <v>67</v>
      </c>
      <c r="D85" t="s">
        <v>40</v>
      </c>
      <c r="E85" t="s">
        <v>27</v>
      </c>
      <c r="F85">
        <v>47</v>
      </c>
      <c r="G85">
        <v>115.06</v>
      </c>
      <c r="H85">
        <v>45952</v>
      </c>
      <c r="I85">
        <v>45954</v>
      </c>
      <c r="J85" t="s">
        <v>20</v>
      </c>
      <c r="K85" t="s">
        <v>21</v>
      </c>
      <c r="L85" t="s">
        <v>22</v>
      </c>
      <c r="M85">
        <f t="shared" si="2"/>
        <v>5407.82</v>
      </c>
      <c r="N85">
        <f t="shared" si="3"/>
        <v>46</v>
      </c>
      <c r="O85" t="str">
        <f ca="1">IFERROR((G85-_xludf.XLOOKUP(D85,Articles!A:A,Articles!D:D))/_xludf.XLOOKUP(D85,Articles!A:A,Articles!D:D),"")</f>
        <v/>
      </c>
      <c r="P85" t="s">
        <v>29</v>
      </c>
    </row>
    <row r="86" spans="1:16" x14ac:dyDescent="0.3">
      <c r="A86" t="s">
        <v>176</v>
      </c>
      <c r="B86">
        <v>45918</v>
      </c>
      <c r="C86" t="s">
        <v>75</v>
      </c>
      <c r="D86" t="s">
        <v>40</v>
      </c>
      <c r="E86" t="s">
        <v>37</v>
      </c>
      <c r="F86">
        <v>37</v>
      </c>
      <c r="G86">
        <v>132.38999999999999</v>
      </c>
      <c r="H86">
        <v>45958</v>
      </c>
      <c r="I86">
        <v>45957</v>
      </c>
      <c r="J86" t="s">
        <v>20</v>
      </c>
      <c r="K86" t="s">
        <v>21</v>
      </c>
      <c r="L86" t="s">
        <v>45</v>
      </c>
      <c r="M86">
        <f t="shared" si="2"/>
        <v>4898.4299999999994</v>
      </c>
      <c r="N86">
        <f t="shared" si="3"/>
        <v>39</v>
      </c>
      <c r="O86" t="str">
        <f ca="1">IFERROR((G86-_xludf.XLOOKUP(D86,Articles!A:A,Articles!D:D))/_xludf.XLOOKUP(D86,Articles!A:A,Articles!D:D),"")</f>
        <v/>
      </c>
      <c r="P86" t="s">
        <v>29</v>
      </c>
    </row>
    <row r="87" spans="1:16" x14ac:dyDescent="0.3">
      <c r="A87" t="s">
        <v>177</v>
      </c>
      <c r="B87">
        <v>45995</v>
      </c>
      <c r="C87" t="s">
        <v>87</v>
      </c>
      <c r="D87" t="s">
        <v>130</v>
      </c>
      <c r="E87" t="s">
        <v>56</v>
      </c>
      <c r="F87">
        <v>80</v>
      </c>
      <c r="G87">
        <v>274.97000000000003</v>
      </c>
      <c r="H87">
        <v>46027</v>
      </c>
      <c r="I87">
        <v>46026</v>
      </c>
      <c r="J87" t="s">
        <v>62</v>
      </c>
      <c r="K87" t="s">
        <v>21</v>
      </c>
      <c r="L87" t="s">
        <v>48</v>
      </c>
      <c r="M87">
        <f t="shared" si="2"/>
        <v>21997.600000000002</v>
      </c>
      <c r="N87">
        <f t="shared" si="3"/>
        <v>31</v>
      </c>
      <c r="O87" t="str">
        <f ca="1">IFERROR((G87-_xludf.XLOOKUP(D87,Articles!A:A,Articles!D:D))/_xludf.XLOOKUP(D87,Articles!A:A,Articles!D:D),"")</f>
        <v/>
      </c>
      <c r="P87" t="s">
        <v>29</v>
      </c>
    </row>
    <row r="88" spans="1:16" x14ac:dyDescent="0.3">
      <c r="A88" t="s">
        <v>178</v>
      </c>
      <c r="B88">
        <v>46070</v>
      </c>
      <c r="C88" t="s">
        <v>67</v>
      </c>
      <c r="D88" t="s">
        <v>128</v>
      </c>
      <c r="E88" t="s">
        <v>56</v>
      </c>
      <c r="F88">
        <v>109</v>
      </c>
      <c r="G88">
        <v>434.29</v>
      </c>
      <c r="H88">
        <v>46117</v>
      </c>
      <c r="I88">
        <v>46121</v>
      </c>
      <c r="J88" t="s">
        <v>20</v>
      </c>
      <c r="K88" t="s">
        <v>21</v>
      </c>
      <c r="L88" t="s">
        <v>33</v>
      </c>
      <c r="M88">
        <f t="shared" si="2"/>
        <v>47337.61</v>
      </c>
      <c r="N88">
        <f t="shared" si="3"/>
        <v>51</v>
      </c>
      <c r="O88" t="str">
        <f ca="1">IFERROR((G88-_xludf.XLOOKUP(D88,Articles!A:A,Articles!D:D))/_xludf.XLOOKUP(D88,Articles!A:A,Articles!D:D),"")</f>
        <v/>
      </c>
      <c r="P88" t="s">
        <v>34</v>
      </c>
    </row>
    <row r="89" spans="1:16" x14ac:dyDescent="0.3">
      <c r="A89" t="s">
        <v>179</v>
      </c>
      <c r="B89">
        <v>45973</v>
      </c>
      <c r="C89" t="s">
        <v>25</v>
      </c>
      <c r="D89" t="s">
        <v>88</v>
      </c>
      <c r="E89" t="s">
        <v>37</v>
      </c>
      <c r="F89">
        <v>174</v>
      </c>
      <c r="G89">
        <v>417.34</v>
      </c>
      <c r="H89">
        <v>45999</v>
      </c>
      <c r="I89">
        <v>46011</v>
      </c>
      <c r="J89" t="s">
        <v>20</v>
      </c>
      <c r="K89" t="s">
        <v>21</v>
      </c>
      <c r="L89" t="s">
        <v>22</v>
      </c>
      <c r="M89">
        <f t="shared" si="2"/>
        <v>72617.159999999989</v>
      </c>
      <c r="N89">
        <f t="shared" si="3"/>
        <v>38</v>
      </c>
      <c r="O89" t="str">
        <f ca="1">IFERROR((G89-_xludf.XLOOKUP(D89,Articles!A:A,Articles!D:D))/_xludf.XLOOKUP(D89,Articles!A:A,Articles!D:D),"")</f>
        <v/>
      </c>
      <c r="P89" t="s">
        <v>29</v>
      </c>
    </row>
    <row r="90" spans="1:16" x14ac:dyDescent="0.3">
      <c r="A90" t="s">
        <v>180</v>
      </c>
      <c r="B90">
        <v>45953</v>
      </c>
      <c r="C90" t="s">
        <v>80</v>
      </c>
      <c r="D90" t="s">
        <v>61</v>
      </c>
      <c r="E90" t="s">
        <v>37</v>
      </c>
      <c r="F90">
        <v>78</v>
      </c>
      <c r="G90">
        <v>276.23</v>
      </c>
      <c r="H90">
        <v>45991</v>
      </c>
      <c r="I90">
        <v>45992</v>
      </c>
      <c r="J90" t="s">
        <v>20</v>
      </c>
      <c r="K90" t="s">
        <v>21</v>
      </c>
      <c r="L90" t="s">
        <v>45</v>
      </c>
      <c r="M90">
        <f t="shared" si="2"/>
        <v>21545.940000000002</v>
      </c>
      <c r="N90">
        <f t="shared" si="3"/>
        <v>39</v>
      </c>
      <c r="O90" t="str">
        <f ca="1">IFERROR((G90-_xludf.XLOOKUP(D90,Articles!A:A,Articles!D:D))/_xludf.XLOOKUP(D90,Articles!A:A,Articles!D:D),"")</f>
        <v/>
      </c>
      <c r="P90" t="s">
        <v>29</v>
      </c>
    </row>
    <row r="91" spans="1:16" x14ac:dyDescent="0.3">
      <c r="A91" t="s">
        <v>181</v>
      </c>
      <c r="B91">
        <v>45998</v>
      </c>
      <c r="C91" t="s">
        <v>158</v>
      </c>
      <c r="D91" t="s">
        <v>141</v>
      </c>
      <c r="E91" t="s">
        <v>56</v>
      </c>
      <c r="F91">
        <v>137</v>
      </c>
      <c r="G91">
        <v>218.89</v>
      </c>
      <c r="H91">
        <v>46036</v>
      </c>
      <c r="I91">
        <v>46048</v>
      </c>
      <c r="J91" t="s">
        <v>62</v>
      </c>
      <c r="K91" t="s">
        <v>21</v>
      </c>
      <c r="L91" t="s">
        <v>45</v>
      </c>
      <c r="M91">
        <f t="shared" si="2"/>
        <v>29987.929999999997</v>
      </c>
      <c r="N91">
        <f t="shared" si="3"/>
        <v>50</v>
      </c>
      <c r="O91" t="str">
        <f ca="1">IFERROR((G91-_xludf.XLOOKUP(D91,Articles!A:A,Articles!D:D))/_xludf.XLOOKUP(D91,Articles!A:A,Articles!D:D),"")</f>
        <v/>
      </c>
      <c r="P91" t="s">
        <v>23</v>
      </c>
    </row>
    <row r="92" spans="1:16" x14ac:dyDescent="0.3">
      <c r="A92" t="s">
        <v>182</v>
      </c>
      <c r="B92">
        <v>45905</v>
      </c>
      <c r="C92" t="s">
        <v>17</v>
      </c>
      <c r="D92" t="s">
        <v>18</v>
      </c>
      <c r="E92" t="s">
        <v>37</v>
      </c>
      <c r="F92">
        <v>118</v>
      </c>
      <c r="G92">
        <v>352.46</v>
      </c>
      <c r="H92">
        <v>45958</v>
      </c>
      <c r="I92">
        <v>45962</v>
      </c>
      <c r="J92" t="s">
        <v>20</v>
      </c>
      <c r="K92" t="s">
        <v>21</v>
      </c>
      <c r="L92" t="s">
        <v>33</v>
      </c>
      <c r="M92">
        <f t="shared" si="2"/>
        <v>41590.28</v>
      </c>
      <c r="N92">
        <f t="shared" si="3"/>
        <v>57</v>
      </c>
      <c r="O92" t="str">
        <f ca="1">IFERROR((G92-_xludf.XLOOKUP(D92,Articles!A:A,Articles!D:D))/_xludf.XLOOKUP(D92,Articles!A:A,Articles!D:D),"")</f>
        <v/>
      </c>
      <c r="P92" t="s">
        <v>29</v>
      </c>
    </row>
    <row r="93" spans="1:16" x14ac:dyDescent="0.3">
      <c r="A93" t="s">
        <v>183</v>
      </c>
      <c r="B93">
        <v>45906</v>
      </c>
      <c r="C93" t="s">
        <v>31</v>
      </c>
      <c r="D93" t="s">
        <v>110</v>
      </c>
      <c r="E93" t="s">
        <v>56</v>
      </c>
      <c r="F93">
        <v>248</v>
      </c>
      <c r="G93">
        <v>399.34</v>
      </c>
      <c r="H93">
        <v>45954</v>
      </c>
      <c r="I93">
        <v>45961</v>
      </c>
      <c r="J93" t="s">
        <v>62</v>
      </c>
      <c r="K93" t="s">
        <v>21</v>
      </c>
      <c r="L93" t="s">
        <v>45</v>
      </c>
      <c r="M93">
        <f t="shared" si="2"/>
        <v>99036.319999999992</v>
      </c>
      <c r="N93">
        <f t="shared" si="3"/>
        <v>55</v>
      </c>
      <c r="O93" t="str">
        <f ca="1">IFERROR((G93-_xludf.XLOOKUP(D93,Articles!A:A,Articles!D:D))/_xludf.XLOOKUP(D93,Articles!A:A,Articles!D:D),"")</f>
        <v/>
      </c>
      <c r="P93" t="s">
        <v>23</v>
      </c>
    </row>
    <row r="94" spans="1:16" x14ac:dyDescent="0.3">
      <c r="A94" t="s">
        <v>184</v>
      </c>
      <c r="B94">
        <v>46012</v>
      </c>
      <c r="C94" t="s">
        <v>50</v>
      </c>
      <c r="D94" t="s">
        <v>145</v>
      </c>
      <c r="E94" t="s">
        <v>27</v>
      </c>
      <c r="F94">
        <v>151</v>
      </c>
      <c r="G94">
        <v>228.23</v>
      </c>
      <c r="H94">
        <v>46033</v>
      </c>
      <c r="I94">
        <v>46037</v>
      </c>
      <c r="J94" t="s">
        <v>62</v>
      </c>
      <c r="K94" t="s">
        <v>21</v>
      </c>
      <c r="L94" t="s">
        <v>33</v>
      </c>
      <c r="M94">
        <f t="shared" si="2"/>
        <v>34462.729999999996</v>
      </c>
      <c r="N94">
        <f t="shared" si="3"/>
        <v>25</v>
      </c>
      <c r="O94" t="str">
        <f ca="1">IFERROR((G94-_xludf.XLOOKUP(D94,Articles!A:A,Articles!D:D))/_xludf.XLOOKUP(D94,Articles!A:A,Articles!D:D),"")</f>
        <v/>
      </c>
      <c r="P94" t="s">
        <v>29</v>
      </c>
    </row>
    <row r="95" spans="1:16" x14ac:dyDescent="0.3">
      <c r="A95" t="s">
        <v>185</v>
      </c>
      <c r="B95">
        <v>46031</v>
      </c>
      <c r="C95" t="s">
        <v>39</v>
      </c>
      <c r="D95" t="s">
        <v>186</v>
      </c>
      <c r="E95" t="s">
        <v>27</v>
      </c>
      <c r="F95">
        <v>163</v>
      </c>
      <c r="G95">
        <v>245.3</v>
      </c>
      <c r="H95">
        <v>46097</v>
      </c>
      <c r="I95">
        <v>46097</v>
      </c>
      <c r="J95" t="s">
        <v>62</v>
      </c>
      <c r="K95" t="s">
        <v>21</v>
      </c>
      <c r="L95" t="s">
        <v>28</v>
      </c>
      <c r="M95">
        <f t="shared" si="2"/>
        <v>39983.9</v>
      </c>
      <c r="N95">
        <f t="shared" si="3"/>
        <v>66</v>
      </c>
      <c r="O95" t="str">
        <f ca="1">IFERROR((G95-_xludf.XLOOKUP(D95,Articles!A:A,Articles!D:D))/_xludf.XLOOKUP(D95,Articles!A:A,Articles!D:D),"")</f>
        <v/>
      </c>
      <c r="P95" t="s">
        <v>29</v>
      </c>
    </row>
    <row r="96" spans="1:16" x14ac:dyDescent="0.3">
      <c r="A96" t="s">
        <v>187</v>
      </c>
      <c r="B96">
        <v>45966</v>
      </c>
      <c r="C96" t="s">
        <v>158</v>
      </c>
      <c r="D96" t="s">
        <v>145</v>
      </c>
      <c r="E96" t="s">
        <v>37</v>
      </c>
      <c r="F96">
        <v>51</v>
      </c>
      <c r="G96">
        <v>212.22</v>
      </c>
      <c r="H96">
        <v>45988</v>
      </c>
      <c r="I96">
        <v>45987</v>
      </c>
      <c r="J96" t="s">
        <v>41</v>
      </c>
      <c r="K96" t="s">
        <v>21</v>
      </c>
      <c r="L96" t="s">
        <v>45</v>
      </c>
      <c r="M96">
        <f t="shared" si="2"/>
        <v>10823.22</v>
      </c>
      <c r="N96">
        <f t="shared" si="3"/>
        <v>21</v>
      </c>
      <c r="O96" t="str">
        <f ca="1">IFERROR((G96-_xludf.XLOOKUP(D96,Articles!A:A,Articles!D:D))/_xludf.XLOOKUP(D96,Articles!A:A,Articles!D:D),"")</f>
        <v/>
      </c>
      <c r="P96" t="s">
        <v>34</v>
      </c>
    </row>
    <row r="97" spans="1:16" x14ac:dyDescent="0.3">
      <c r="A97" t="s">
        <v>188</v>
      </c>
      <c r="B97">
        <v>46015</v>
      </c>
      <c r="C97" t="s">
        <v>75</v>
      </c>
      <c r="D97" t="s">
        <v>112</v>
      </c>
      <c r="E97" t="s">
        <v>27</v>
      </c>
      <c r="F97">
        <v>175</v>
      </c>
      <c r="G97">
        <v>495.4</v>
      </c>
      <c r="H97">
        <v>46078</v>
      </c>
      <c r="I97">
        <v>46084</v>
      </c>
      <c r="J97" t="s">
        <v>62</v>
      </c>
      <c r="K97" t="s">
        <v>21</v>
      </c>
      <c r="L97" t="s">
        <v>45</v>
      </c>
      <c r="M97">
        <f t="shared" si="2"/>
        <v>86695</v>
      </c>
      <c r="N97">
        <f t="shared" si="3"/>
        <v>69</v>
      </c>
      <c r="O97" t="str">
        <f ca="1">IFERROR((G97-_xludf.XLOOKUP(D97,Articles!A:A,Articles!D:D))/_xludf.XLOOKUP(D97,Articles!A:A,Articles!D:D),"")</f>
        <v/>
      </c>
      <c r="P97" t="s">
        <v>29</v>
      </c>
    </row>
    <row r="98" spans="1:16" x14ac:dyDescent="0.3">
      <c r="A98" t="s">
        <v>189</v>
      </c>
      <c r="B98">
        <v>46014</v>
      </c>
      <c r="C98" t="s">
        <v>72</v>
      </c>
      <c r="D98" t="s">
        <v>190</v>
      </c>
      <c r="E98" t="s">
        <v>37</v>
      </c>
      <c r="F98">
        <v>162</v>
      </c>
      <c r="G98">
        <v>148.12</v>
      </c>
      <c r="H98">
        <v>46058</v>
      </c>
      <c r="I98">
        <v>46079</v>
      </c>
      <c r="J98" t="s">
        <v>20</v>
      </c>
      <c r="K98" t="s">
        <v>21</v>
      </c>
      <c r="L98" t="s">
        <v>45</v>
      </c>
      <c r="M98">
        <f t="shared" si="2"/>
        <v>23995.440000000002</v>
      </c>
      <c r="N98">
        <f t="shared" si="3"/>
        <v>65</v>
      </c>
      <c r="O98" t="str">
        <f ca="1">IFERROR((G98-_xludf.XLOOKUP(D98,Articles!A:A,Articles!D:D))/_xludf.XLOOKUP(D98,Articles!A:A,Articles!D:D),"")</f>
        <v/>
      </c>
      <c r="P98" t="s">
        <v>29</v>
      </c>
    </row>
    <row r="99" spans="1:16" x14ac:dyDescent="0.3">
      <c r="A99" t="s">
        <v>191</v>
      </c>
      <c r="B99">
        <v>45995</v>
      </c>
      <c r="C99" t="s">
        <v>132</v>
      </c>
      <c r="D99" t="s">
        <v>18</v>
      </c>
      <c r="E99" t="s">
        <v>37</v>
      </c>
      <c r="F99">
        <v>213</v>
      </c>
      <c r="G99">
        <v>292.93</v>
      </c>
      <c r="H99">
        <v>46053</v>
      </c>
      <c r="I99">
        <v>46052</v>
      </c>
      <c r="J99" t="s">
        <v>20</v>
      </c>
      <c r="K99" t="s">
        <v>21</v>
      </c>
      <c r="L99" t="s">
        <v>22</v>
      </c>
      <c r="M99">
        <f t="shared" si="2"/>
        <v>62394.090000000004</v>
      </c>
      <c r="N99">
        <f t="shared" si="3"/>
        <v>57</v>
      </c>
      <c r="O99" t="str">
        <f ca="1">IFERROR((G99-_xludf.XLOOKUP(D99,Articles!A:A,Articles!D:D))/_xludf.XLOOKUP(D99,Articles!A:A,Articles!D:D),"")</f>
        <v/>
      </c>
      <c r="P99" t="s">
        <v>29</v>
      </c>
    </row>
    <row r="100" spans="1:16" x14ac:dyDescent="0.3">
      <c r="A100" t="s">
        <v>192</v>
      </c>
      <c r="B100">
        <v>46016</v>
      </c>
      <c r="C100" t="s">
        <v>132</v>
      </c>
      <c r="D100" t="s">
        <v>51</v>
      </c>
      <c r="E100" t="s">
        <v>27</v>
      </c>
      <c r="F100">
        <v>233</v>
      </c>
      <c r="G100">
        <v>330.92</v>
      </c>
      <c r="H100">
        <v>46051</v>
      </c>
      <c r="I100">
        <v>46051</v>
      </c>
      <c r="J100" t="s">
        <v>20</v>
      </c>
      <c r="K100" t="s">
        <v>21</v>
      </c>
      <c r="L100" t="s">
        <v>48</v>
      </c>
      <c r="M100">
        <f t="shared" si="2"/>
        <v>77104.36</v>
      </c>
      <c r="N100">
        <f t="shared" si="3"/>
        <v>35</v>
      </c>
      <c r="O100" t="str">
        <f ca="1">IFERROR((G100-_xludf.XLOOKUP(D100,Articles!A:A,Articles!D:D))/_xludf.XLOOKUP(D100,Articles!A:A,Articles!D:D),"")</f>
        <v/>
      </c>
      <c r="P100" t="s">
        <v>29</v>
      </c>
    </row>
    <row r="101" spans="1:16" x14ac:dyDescent="0.3">
      <c r="A101" t="s">
        <v>193</v>
      </c>
      <c r="B101">
        <v>46108</v>
      </c>
      <c r="C101" t="s">
        <v>25</v>
      </c>
      <c r="D101" t="s">
        <v>150</v>
      </c>
      <c r="E101" t="s">
        <v>37</v>
      </c>
      <c r="F101">
        <v>231</v>
      </c>
      <c r="G101">
        <v>141.37</v>
      </c>
      <c r="H101">
        <v>46150</v>
      </c>
      <c r="I101">
        <v>46157</v>
      </c>
      <c r="J101" t="s">
        <v>20</v>
      </c>
      <c r="K101" t="s">
        <v>21</v>
      </c>
      <c r="L101" t="s">
        <v>45</v>
      </c>
      <c r="M101">
        <f t="shared" si="2"/>
        <v>32656.47</v>
      </c>
      <c r="N101">
        <f t="shared" si="3"/>
        <v>49</v>
      </c>
      <c r="O101" t="str">
        <f ca="1">IFERROR((G101-_xludf.XLOOKUP(D101,Articles!A:A,Articles!D:D))/_xludf.XLOOKUP(D101,Articles!A:A,Articles!D:D),"")</f>
        <v/>
      </c>
      <c r="P101" t="s">
        <v>29</v>
      </c>
    </row>
    <row r="102" spans="1:16" x14ac:dyDescent="0.3">
      <c r="A102" t="s">
        <v>194</v>
      </c>
      <c r="B102">
        <v>46057</v>
      </c>
      <c r="C102" t="s">
        <v>123</v>
      </c>
      <c r="D102" t="s">
        <v>195</v>
      </c>
      <c r="E102" t="s">
        <v>56</v>
      </c>
      <c r="F102">
        <v>41</v>
      </c>
      <c r="G102">
        <v>164.2</v>
      </c>
      <c r="H102">
        <v>46099</v>
      </c>
      <c r="I102">
        <v>46103</v>
      </c>
      <c r="J102" t="s">
        <v>20</v>
      </c>
      <c r="K102" t="s">
        <v>21</v>
      </c>
      <c r="L102" t="s">
        <v>33</v>
      </c>
      <c r="M102">
        <f t="shared" si="2"/>
        <v>6732.2</v>
      </c>
      <c r="N102">
        <f t="shared" si="3"/>
        <v>46</v>
      </c>
      <c r="O102" t="str">
        <f ca="1">IFERROR((G102-_xludf.XLOOKUP(D102,Articles!A:A,Articles!D:D))/_xludf.XLOOKUP(D102,Articles!A:A,Articles!D:D),"")</f>
        <v/>
      </c>
      <c r="P102" t="s">
        <v>29</v>
      </c>
    </row>
    <row r="103" spans="1:16" x14ac:dyDescent="0.3">
      <c r="A103" t="s">
        <v>196</v>
      </c>
      <c r="B103">
        <v>45925</v>
      </c>
      <c r="C103" t="s">
        <v>95</v>
      </c>
      <c r="D103" t="s">
        <v>190</v>
      </c>
      <c r="E103" t="s">
        <v>27</v>
      </c>
      <c r="F103">
        <v>143</v>
      </c>
      <c r="G103">
        <v>165.85</v>
      </c>
      <c r="H103">
        <v>45969</v>
      </c>
      <c r="I103">
        <v>45970</v>
      </c>
      <c r="J103" t="s">
        <v>20</v>
      </c>
      <c r="K103" t="s">
        <v>21</v>
      </c>
      <c r="L103" t="s">
        <v>33</v>
      </c>
      <c r="M103">
        <f t="shared" si="2"/>
        <v>23716.55</v>
      </c>
      <c r="N103">
        <f t="shared" si="3"/>
        <v>45</v>
      </c>
      <c r="O103" t="str">
        <f ca="1">IFERROR((G103-_xludf.XLOOKUP(D103,Articles!A:A,Articles!D:D))/_xludf.XLOOKUP(D103,Articles!A:A,Articles!D:D),"")</f>
        <v/>
      </c>
      <c r="P103" t="s">
        <v>29</v>
      </c>
    </row>
    <row r="104" spans="1:16" x14ac:dyDescent="0.3">
      <c r="A104" t="s">
        <v>197</v>
      </c>
      <c r="B104">
        <v>46070</v>
      </c>
      <c r="C104" t="s">
        <v>75</v>
      </c>
      <c r="D104" t="s">
        <v>73</v>
      </c>
      <c r="E104" t="s">
        <v>56</v>
      </c>
      <c r="F104">
        <v>37</v>
      </c>
      <c r="G104">
        <v>358.78</v>
      </c>
      <c r="H104">
        <v>46091</v>
      </c>
      <c r="I104">
        <v>46095</v>
      </c>
      <c r="J104" t="s">
        <v>41</v>
      </c>
      <c r="K104" t="s">
        <v>21</v>
      </c>
      <c r="L104" t="s">
        <v>33</v>
      </c>
      <c r="M104">
        <f t="shared" si="2"/>
        <v>13274.859999999999</v>
      </c>
      <c r="N104">
        <f t="shared" si="3"/>
        <v>25</v>
      </c>
      <c r="O104" t="str">
        <f ca="1">IFERROR((G104-_xludf.XLOOKUP(D104,Articles!A:A,Articles!D:D))/_xludf.XLOOKUP(D104,Articles!A:A,Articles!D:D),"")</f>
        <v/>
      </c>
      <c r="P104" t="s">
        <v>29</v>
      </c>
    </row>
    <row r="105" spans="1:16" x14ac:dyDescent="0.3">
      <c r="A105" t="s">
        <v>198</v>
      </c>
      <c r="B105">
        <v>46065</v>
      </c>
      <c r="C105" t="s">
        <v>31</v>
      </c>
      <c r="D105" t="s">
        <v>51</v>
      </c>
      <c r="E105" t="s">
        <v>19</v>
      </c>
      <c r="F105">
        <v>203</v>
      </c>
      <c r="G105">
        <v>287.2</v>
      </c>
      <c r="H105">
        <v>46092</v>
      </c>
      <c r="I105">
        <v>46104</v>
      </c>
      <c r="J105" t="s">
        <v>41</v>
      </c>
      <c r="K105" t="s">
        <v>21</v>
      </c>
      <c r="L105" t="s">
        <v>48</v>
      </c>
      <c r="M105">
        <f t="shared" si="2"/>
        <v>58301.599999999999</v>
      </c>
      <c r="N105">
        <f t="shared" si="3"/>
        <v>39</v>
      </c>
      <c r="O105" t="str">
        <f ca="1">IFERROR((G105-_xludf.XLOOKUP(D105,Articles!A:A,Articles!D:D))/_xludf.XLOOKUP(D105,Articles!A:A,Articles!D:D),"")</f>
        <v/>
      </c>
      <c r="P105" t="s">
        <v>29</v>
      </c>
    </row>
    <row r="106" spans="1:16" x14ac:dyDescent="0.3">
      <c r="A106" t="s">
        <v>199</v>
      </c>
      <c r="B106">
        <v>45947</v>
      </c>
      <c r="C106" t="s">
        <v>83</v>
      </c>
      <c r="D106" t="s">
        <v>98</v>
      </c>
      <c r="E106" t="s">
        <v>56</v>
      </c>
      <c r="F106">
        <v>244</v>
      </c>
      <c r="G106">
        <v>311.14</v>
      </c>
      <c r="H106">
        <v>45961</v>
      </c>
      <c r="I106">
        <v>45961</v>
      </c>
      <c r="J106" t="s">
        <v>41</v>
      </c>
      <c r="K106" t="s">
        <v>21</v>
      </c>
      <c r="L106" t="s">
        <v>33</v>
      </c>
      <c r="M106">
        <f t="shared" si="2"/>
        <v>75918.16</v>
      </c>
      <c r="N106">
        <f t="shared" si="3"/>
        <v>14</v>
      </c>
      <c r="O106" t="str">
        <f ca="1">IFERROR((G106-_xludf.XLOOKUP(D106,Articles!A:A,Articles!D:D))/_xludf.XLOOKUP(D106,Articles!A:A,Articles!D:D),"")</f>
        <v/>
      </c>
      <c r="P106" t="s">
        <v>29</v>
      </c>
    </row>
    <row r="107" spans="1:16" x14ac:dyDescent="0.3">
      <c r="A107" t="s">
        <v>200</v>
      </c>
      <c r="B107">
        <v>46098</v>
      </c>
      <c r="C107" t="s">
        <v>123</v>
      </c>
      <c r="D107" t="s">
        <v>145</v>
      </c>
      <c r="E107" t="s">
        <v>27</v>
      </c>
      <c r="F107">
        <v>139</v>
      </c>
      <c r="G107">
        <v>258.91000000000003</v>
      </c>
      <c r="H107">
        <v>46126</v>
      </c>
      <c r="I107">
        <v>46123</v>
      </c>
      <c r="J107" t="s">
        <v>20</v>
      </c>
      <c r="K107" t="s">
        <v>21</v>
      </c>
      <c r="L107" t="s">
        <v>22</v>
      </c>
      <c r="M107">
        <f t="shared" si="2"/>
        <v>35988.490000000005</v>
      </c>
      <c r="N107">
        <f t="shared" si="3"/>
        <v>25</v>
      </c>
      <c r="O107" t="str">
        <f ca="1">IFERROR((G107-_xludf.XLOOKUP(D107,Articles!A:A,Articles!D:D))/_xludf.XLOOKUP(D107,Articles!A:A,Articles!D:D),"")</f>
        <v/>
      </c>
      <c r="P107" t="s">
        <v>23</v>
      </c>
    </row>
    <row r="108" spans="1:16" x14ac:dyDescent="0.3">
      <c r="A108" t="s">
        <v>201</v>
      </c>
      <c r="B108">
        <v>45942</v>
      </c>
      <c r="C108" t="s">
        <v>158</v>
      </c>
      <c r="D108" t="s">
        <v>202</v>
      </c>
      <c r="E108" t="s">
        <v>19</v>
      </c>
      <c r="F108">
        <v>47</v>
      </c>
      <c r="G108">
        <v>492.83</v>
      </c>
      <c r="H108">
        <v>45958</v>
      </c>
      <c r="I108">
        <v>45958</v>
      </c>
      <c r="J108" t="s">
        <v>20</v>
      </c>
      <c r="K108" t="s">
        <v>21</v>
      </c>
      <c r="L108" t="s">
        <v>28</v>
      </c>
      <c r="M108">
        <f t="shared" si="2"/>
        <v>23163.01</v>
      </c>
      <c r="N108">
        <f t="shared" si="3"/>
        <v>16</v>
      </c>
      <c r="O108" t="str">
        <f ca="1">IFERROR((G108-_xludf.XLOOKUP(D108,Articles!A:A,Articles!D:D))/_xludf.XLOOKUP(D108,Articles!A:A,Articles!D:D),"")</f>
        <v/>
      </c>
      <c r="P108" t="s">
        <v>29</v>
      </c>
    </row>
    <row r="109" spans="1:16" x14ac:dyDescent="0.3">
      <c r="A109" t="s">
        <v>203</v>
      </c>
      <c r="B109">
        <v>45973</v>
      </c>
      <c r="C109" t="s">
        <v>114</v>
      </c>
      <c r="D109" t="s">
        <v>150</v>
      </c>
      <c r="E109" t="s">
        <v>37</v>
      </c>
      <c r="F109">
        <v>193</v>
      </c>
      <c r="G109">
        <v>137.94999999999999</v>
      </c>
      <c r="H109">
        <v>46021</v>
      </c>
      <c r="I109">
        <v>46021</v>
      </c>
      <c r="J109" t="s">
        <v>20</v>
      </c>
      <c r="K109" t="s">
        <v>21</v>
      </c>
      <c r="L109" t="s">
        <v>28</v>
      </c>
      <c r="M109">
        <f t="shared" si="2"/>
        <v>26624.35</v>
      </c>
      <c r="N109">
        <f t="shared" si="3"/>
        <v>48</v>
      </c>
      <c r="O109" t="str">
        <f ca="1">IFERROR((G109-_xludf.XLOOKUP(D109,Articles!A:A,Articles!D:D))/_xludf.XLOOKUP(D109,Articles!A:A,Articles!D:D),"")</f>
        <v/>
      </c>
      <c r="P109" t="s">
        <v>29</v>
      </c>
    </row>
    <row r="110" spans="1:16" x14ac:dyDescent="0.3">
      <c r="A110" t="s">
        <v>204</v>
      </c>
      <c r="B110">
        <v>46013</v>
      </c>
      <c r="C110" t="s">
        <v>75</v>
      </c>
      <c r="D110" t="s">
        <v>98</v>
      </c>
      <c r="E110" t="s">
        <v>27</v>
      </c>
      <c r="F110">
        <v>119</v>
      </c>
      <c r="G110">
        <v>480.67</v>
      </c>
      <c r="H110">
        <v>46026</v>
      </c>
      <c r="I110">
        <v>46038</v>
      </c>
      <c r="J110" t="s">
        <v>20</v>
      </c>
      <c r="K110" t="s">
        <v>21</v>
      </c>
      <c r="L110" t="s">
        <v>22</v>
      </c>
      <c r="M110">
        <f t="shared" si="2"/>
        <v>57199.73</v>
      </c>
      <c r="N110">
        <f t="shared" si="3"/>
        <v>25</v>
      </c>
      <c r="O110" t="str">
        <f ca="1">IFERROR((G110-_xludf.XLOOKUP(D110,Articles!A:A,Articles!D:D))/_xludf.XLOOKUP(D110,Articles!A:A,Articles!D:D),"")</f>
        <v/>
      </c>
      <c r="P110" t="s">
        <v>23</v>
      </c>
    </row>
    <row r="111" spans="1:16" x14ac:dyDescent="0.3">
      <c r="A111" t="s">
        <v>205</v>
      </c>
      <c r="B111">
        <v>45914</v>
      </c>
      <c r="C111" t="s">
        <v>67</v>
      </c>
      <c r="D111" t="s">
        <v>206</v>
      </c>
      <c r="E111" t="s">
        <v>56</v>
      </c>
      <c r="F111">
        <v>165</v>
      </c>
      <c r="G111">
        <v>186.83</v>
      </c>
      <c r="H111">
        <v>45928</v>
      </c>
      <c r="J111" t="s">
        <v>62</v>
      </c>
      <c r="K111" t="s">
        <v>21</v>
      </c>
      <c r="L111" t="s">
        <v>33</v>
      </c>
      <c r="M111">
        <f t="shared" si="2"/>
        <v>30826.95</v>
      </c>
      <c r="N111" t="str">
        <f t="shared" si="3"/>
        <v/>
      </c>
      <c r="O111" t="str">
        <f ca="1">IFERROR((G111-_xludf.XLOOKUP(D111,Articles!A:A,Articles!D:D))/_xludf.XLOOKUP(D111,Articles!A:A,Articles!D:D),"")</f>
        <v/>
      </c>
      <c r="P111" t="s">
        <v>29</v>
      </c>
    </row>
    <row r="112" spans="1:16" x14ac:dyDescent="0.3">
      <c r="A112" t="s">
        <v>207</v>
      </c>
      <c r="B112">
        <v>45970</v>
      </c>
      <c r="C112" t="s">
        <v>87</v>
      </c>
      <c r="D112" t="s">
        <v>73</v>
      </c>
      <c r="E112" t="s">
        <v>37</v>
      </c>
      <c r="F112">
        <v>116</v>
      </c>
      <c r="G112">
        <v>321.83999999999997</v>
      </c>
      <c r="H112">
        <v>45989</v>
      </c>
      <c r="J112" t="s">
        <v>41</v>
      </c>
      <c r="K112" t="s">
        <v>21</v>
      </c>
      <c r="L112" t="s">
        <v>33</v>
      </c>
      <c r="M112">
        <f t="shared" si="2"/>
        <v>37333.439999999995</v>
      </c>
      <c r="N112" t="str">
        <f t="shared" si="3"/>
        <v/>
      </c>
      <c r="O112" t="str">
        <f ca="1">IFERROR((G112-_xludf.XLOOKUP(D112,Articles!A:A,Articles!D:D))/_xludf.XLOOKUP(D112,Articles!A:A,Articles!D:D),"")</f>
        <v/>
      </c>
      <c r="P112" t="s">
        <v>23</v>
      </c>
    </row>
    <row r="113" spans="1:16" x14ac:dyDescent="0.3">
      <c r="A113" t="s">
        <v>208</v>
      </c>
      <c r="B113">
        <v>45914</v>
      </c>
      <c r="C113" t="s">
        <v>17</v>
      </c>
      <c r="D113" t="s">
        <v>209</v>
      </c>
      <c r="E113" t="s">
        <v>56</v>
      </c>
      <c r="F113">
        <v>102</v>
      </c>
      <c r="G113">
        <v>251.16</v>
      </c>
      <c r="H113">
        <v>45936</v>
      </c>
      <c r="I113">
        <v>45940</v>
      </c>
      <c r="J113" t="s">
        <v>52</v>
      </c>
      <c r="K113" t="s">
        <v>21</v>
      </c>
      <c r="L113" t="s">
        <v>33</v>
      </c>
      <c r="M113">
        <f t="shared" si="2"/>
        <v>25618.32</v>
      </c>
      <c r="N113">
        <f t="shared" si="3"/>
        <v>26</v>
      </c>
      <c r="O113" t="str">
        <f ca="1">IFERROR((G113-_xludf.XLOOKUP(D113,Articles!A:A,Articles!D:D))/_xludf.XLOOKUP(D113,Articles!A:A,Articles!D:D),"")</f>
        <v/>
      </c>
      <c r="P113" t="s">
        <v>29</v>
      </c>
    </row>
    <row r="114" spans="1:16" x14ac:dyDescent="0.3">
      <c r="A114" t="s">
        <v>210</v>
      </c>
      <c r="B114">
        <v>46103</v>
      </c>
      <c r="C114" t="s">
        <v>85</v>
      </c>
      <c r="D114" t="s">
        <v>145</v>
      </c>
      <c r="E114" t="s">
        <v>37</v>
      </c>
      <c r="F114">
        <v>38</v>
      </c>
      <c r="G114">
        <v>352.91</v>
      </c>
      <c r="H114">
        <v>46127</v>
      </c>
      <c r="I114">
        <v>46134</v>
      </c>
      <c r="J114" t="s">
        <v>20</v>
      </c>
      <c r="K114" t="s">
        <v>21</v>
      </c>
      <c r="L114" t="s">
        <v>45</v>
      </c>
      <c r="M114">
        <f t="shared" si="2"/>
        <v>13410.580000000002</v>
      </c>
      <c r="N114">
        <f t="shared" si="3"/>
        <v>31</v>
      </c>
      <c r="O114" t="str">
        <f ca="1">IFERROR((G114-_xludf.XLOOKUP(D114,Articles!A:A,Articles!D:D))/_xludf.XLOOKUP(D114,Articles!A:A,Articles!D:D),"")</f>
        <v/>
      </c>
      <c r="P114" t="s">
        <v>29</v>
      </c>
    </row>
    <row r="115" spans="1:16" x14ac:dyDescent="0.3">
      <c r="A115" t="s">
        <v>211</v>
      </c>
      <c r="B115">
        <v>45921</v>
      </c>
      <c r="C115" t="s">
        <v>80</v>
      </c>
      <c r="D115" t="s">
        <v>212</v>
      </c>
      <c r="E115" t="s">
        <v>37</v>
      </c>
      <c r="F115">
        <v>5</v>
      </c>
      <c r="G115">
        <v>383.65</v>
      </c>
      <c r="H115">
        <v>45948</v>
      </c>
      <c r="I115">
        <v>45960</v>
      </c>
      <c r="J115" t="s">
        <v>62</v>
      </c>
      <c r="K115" t="s">
        <v>21</v>
      </c>
      <c r="L115" t="s">
        <v>48</v>
      </c>
      <c r="M115">
        <f t="shared" si="2"/>
        <v>1918.25</v>
      </c>
      <c r="N115">
        <f t="shared" si="3"/>
        <v>39</v>
      </c>
      <c r="O115" t="str">
        <f ca="1">IFERROR((G115-_xludf.XLOOKUP(D115,Articles!A:A,Articles!D:D))/_xludf.XLOOKUP(D115,Articles!A:A,Articles!D:D),"")</f>
        <v/>
      </c>
      <c r="P115" t="s">
        <v>29</v>
      </c>
    </row>
    <row r="116" spans="1:16" x14ac:dyDescent="0.3">
      <c r="A116" t="s">
        <v>213</v>
      </c>
      <c r="B116">
        <v>45978</v>
      </c>
      <c r="C116" t="s">
        <v>50</v>
      </c>
      <c r="D116" t="s">
        <v>173</v>
      </c>
      <c r="E116" t="s">
        <v>37</v>
      </c>
      <c r="F116">
        <v>32</v>
      </c>
      <c r="G116">
        <v>296.98</v>
      </c>
      <c r="H116">
        <v>46041</v>
      </c>
      <c r="I116">
        <v>46048</v>
      </c>
      <c r="J116" t="s">
        <v>41</v>
      </c>
      <c r="K116" t="s">
        <v>21</v>
      </c>
      <c r="L116" t="s">
        <v>22</v>
      </c>
      <c r="M116">
        <f t="shared" si="2"/>
        <v>9503.36</v>
      </c>
      <c r="N116">
        <f t="shared" si="3"/>
        <v>70</v>
      </c>
      <c r="O116" t="str">
        <f ca="1">IFERROR((G116-_xludf.XLOOKUP(D116,Articles!A:A,Articles!D:D))/_xludf.XLOOKUP(D116,Articles!A:A,Articles!D:D),"")</f>
        <v/>
      </c>
      <c r="P116" t="s">
        <v>34</v>
      </c>
    </row>
    <row r="117" spans="1:16" x14ac:dyDescent="0.3">
      <c r="A117" t="s">
        <v>214</v>
      </c>
      <c r="B117">
        <v>46062</v>
      </c>
      <c r="C117" t="s">
        <v>80</v>
      </c>
      <c r="D117" t="s">
        <v>69</v>
      </c>
      <c r="E117" t="s">
        <v>27</v>
      </c>
      <c r="F117">
        <v>132</v>
      </c>
      <c r="G117">
        <v>172.99</v>
      </c>
      <c r="H117">
        <v>46117</v>
      </c>
      <c r="I117">
        <v>46118</v>
      </c>
      <c r="J117" t="s">
        <v>20</v>
      </c>
      <c r="K117" t="s">
        <v>21</v>
      </c>
      <c r="L117" t="s">
        <v>22</v>
      </c>
      <c r="M117">
        <f t="shared" si="2"/>
        <v>22834.68</v>
      </c>
      <c r="N117">
        <f t="shared" si="3"/>
        <v>56</v>
      </c>
      <c r="O117" t="str">
        <f ca="1">IFERROR((G117-_xludf.XLOOKUP(D117,Articles!A:A,Articles!D:D))/_xludf.XLOOKUP(D117,Articles!A:A,Articles!D:D),"")</f>
        <v/>
      </c>
      <c r="P117" t="s">
        <v>29</v>
      </c>
    </row>
    <row r="118" spans="1:16" x14ac:dyDescent="0.3">
      <c r="A118" t="s">
        <v>215</v>
      </c>
      <c r="B118">
        <v>46071</v>
      </c>
      <c r="C118" t="s">
        <v>87</v>
      </c>
      <c r="D118" t="s">
        <v>216</v>
      </c>
      <c r="E118" t="s">
        <v>56</v>
      </c>
      <c r="F118">
        <v>172</v>
      </c>
      <c r="G118">
        <v>217.26</v>
      </c>
      <c r="H118">
        <v>46098</v>
      </c>
      <c r="I118">
        <v>46097</v>
      </c>
      <c r="J118" t="s">
        <v>52</v>
      </c>
      <c r="K118" t="s">
        <v>21</v>
      </c>
      <c r="L118" t="s">
        <v>45</v>
      </c>
      <c r="M118">
        <f t="shared" si="2"/>
        <v>37368.720000000001</v>
      </c>
      <c r="N118">
        <f t="shared" si="3"/>
        <v>26</v>
      </c>
      <c r="O118" t="str">
        <f ca="1">IFERROR((G118-_xludf.XLOOKUP(D118,Articles!A:A,Articles!D:D))/_xludf.XLOOKUP(D118,Articles!A:A,Articles!D:D),"")</f>
        <v/>
      </c>
      <c r="P118" t="s">
        <v>29</v>
      </c>
    </row>
    <row r="119" spans="1:16" x14ac:dyDescent="0.3">
      <c r="A119" t="s">
        <v>217</v>
      </c>
      <c r="B119">
        <v>46063</v>
      </c>
      <c r="C119" t="s">
        <v>95</v>
      </c>
      <c r="D119" t="s">
        <v>102</v>
      </c>
      <c r="E119" t="s">
        <v>27</v>
      </c>
      <c r="F119">
        <v>100</v>
      </c>
      <c r="G119">
        <v>329.96</v>
      </c>
      <c r="H119">
        <v>46123</v>
      </c>
      <c r="I119">
        <v>46120</v>
      </c>
      <c r="J119" t="s">
        <v>20</v>
      </c>
      <c r="K119" t="s">
        <v>21</v>
      </c>
      <c r="L119" t="s">
        <v>48</v>
      </c>
      <c r="M119">
        <f t="shared" si="2"/>
        <v>32996</v>
      </c>
      <c r="N119">
        <f t="shared" si="3"/>
        <v>57</v>
      </c>
      <c r="O119" t="str">
        <f ca="1">IFERROR((G119-_xludf.XLOOKUP(D119,Articles!A:A,Articles!D:D))/_xludf.XLOOKUP(D119,Articles!A:A,Articles!D:D),"")</f>
        <v/>
      </c>
      <c r="P119" t="s">
        <v>29</v>
      </c>
    </row>
    <row r="120" spans="1:16" x14ac:dyDescent="0.3">
      <c r="A120" t="s">
        <v>218</v>
      </c>
      <c r="B120">
        <v>45935</v>
      </c>
      <c r="C120" t="s">
        <v>67</v>
      </c>
      <c r="D120" t="s">
        <v>81</v>
      </c>
      <c r="E120" t="s">
        <v>37</v>
      </c>
      <c r="F120">
        <v>12</v>
      </c>
      <c r="G120">
        <v>398.16</v>
      </c>
      <c r="H120">
        <v>45993</v>
      </c>
      <c r="I120">
        <v>45993</v>
      </c>
      <c r="J120" t="s">
        <v>62</v>
      </c>
      <c r="K120" t="s">
        <v>21</v>
      </c>
      <c r="L120" t="s">
        <v>28</v>
      </c>
      <c r="M120">
        <f t="shared" si="2"/>
        <v>4777.92</v>
      </c>
      <c r="N120">
        <f t="shared" si="3"/>
        <v>58</v>
      </c>
      <c r="O120" t="str">
        <f ca="1">IFERROR((G120-_xludf.XLOOKUP(D120,Articles!A:A,Articles!D:D))/_xludf.XLOOKUP(D120,Articles!A:A,Articles!D:D),"")</f>
        <v/>
      </c>
      <c r="P120" t="s">
        <v>29</v>
      </c>
    </row>
    <row r="121" spans="1:16" x14ac:dyDescent="0.3">
      <c r="A121" t="s">
        <v>219</v>
      </c>
      <c r="B121">
        <v>46084</v>
      </c>
      <c r="C121" t="s">
        <v>39</v>
      </c>
      <c r="D121" t="s">
        <v>206</v>
      </c>
      <c r="E121" t="s">
        <v>56</v>
      </c>
      <c r="F121">
        <v>199</v>
      </c>
      <c r="G121">
        <v>212.93</v>
      </c>
      <c r="H121">
        <v>46093</v>
      </c>
      <c r="I121">
        <v>46094</v>
      </c>
      <c r="J121" t="s">
        <v>41</v>
      </c>
      <c r="K121" t="s">
        <v>21</v>
      </c>
      <c r="L121" t="s">
        <v>33</v>
      </c>
      <c r="M121">
        <f t="shared" si="2"/>
        <v>42373.07</v>
      </c>
      <c r="N121">
        <f t="shared" si="3"/>
        <v>10</v>
      </c>
      <c r="O121" t="str">
        <f ca="1">IFERROR((G121-_xludf.XLOOKUP(D121,Articles!A:A,Articles!D:D))/_xludf.XLOOKUP(D121,Articles!A:A,Articles!D:D),"")</f>
        <v/>
      </c>
      <c r="P121" t="s">
        <v>23</v>
      </c>
    </row>
    <row r="122" spans="1:16" x14ac:dyDescent="0.3">
      <c r="A122" t="s">
        <v>220</v>
      </c>
      <c r="B122">
        <v>46002</v>
      </c>
      <c r="C122" t="s">
        <v>123</v>
      </c>
      <c r="D122" t="s">
        <v>121</v>
      </c>
      <c r="E122" t="s">
        <v>19</v>
      </c>
      <c r="F122">
        <v>209</v>
      </c>
      <c r="G122">
        <v>91.29</v>
      </c>
      <c r="H122">
        <v>46047</v>
      </c>
      <c r="J122" t="s">
        <v>20</v>
      </c>
      <c r="K122" t="s">
        <v>21</v>
      </c>
      <c r="L122" t="s">
        <v>48</v>
      </c>
      <c r="M122">
        <f t="shared" si="2"/>
        <v>19079.61</v>
      </c>
      <c r="N122" t="str">
        <f t="shared" si="3"/>
        <v/>
      </c>
      <c r="O122" t="str">
        <f ca="1">IFERROR((G122-_xludf.XLOOKUP(D122,Articles!A:A,Articles!D:D))/_xludf.XLOOKUP(D122,Articles!A:A,Articles!D:D),"")</f>
        <v/>
      </c>
      <c r="P122" t="s">
        <v>29</v>
      </c>
    </row>
    <row r="123" spans="1:16" x14ac:dyDescent="0.3">
      <c r="A123" t="s">
        <v>221</v>
      </c>
      <c r="B123">
        <v>45970</v>
      </c>
      <c r="C123" t="s">
        <v>85</v>
      </c>
      <c r="D123" t="s">
        <v>222</v>
      </c>
      <c r="E123" t="s">
        <v>37</v>
      </c>
      <c r="F123">
        <v>32</v>
      </c>
      <c r="G123">
        <v>317.70999999999998</v>
      </c>
      <c r="H123">
        <v>46004</v>
      </c>
      <c r="I123">
        <v>46008</v>
      </c>
      <c r="J123" t="s">
        <v>20</v>
      </c>
      <c r="K123" t="s">
        <v>21</v>
      </c>
      <c r="L123" t="s">
        <v>33</v>
      </c>
      <c r="M123">
        <f t="shared" si="2"/>
        <v>10166.719999999999</v>
      </c>
      <c r="N123">
        <f t="shared" si="3"/>
        <v>38</v>
      </c>
      <c r="O123" t="str">
        <f ca="1">IFERROR((G123-_xludf.XLOOKUP(D123,Articles!A:A,Articles!D:D))/_xludf.XLOOKUP(D123,Articles!A:A,Articles!D:D),"")</f>
        <v/>
      </c>
      <c r="P123" t="s">
        <v>34</v>
      </c>
    </row>
    <row r="124" spans="1:16" x14ac:dyDescent="0.3">
      <c r="A124" t="s">
        <v>223</v>
      </c>
      <c r="B124">
        <v>46078</v>
      </c>
      <c r="C124" t="s">
        <v>25</v>
      </c>
      <c r="D124" t="s">
        <v>141</v>
      </c>
      <c r="E124" t="s">
        <v>56</v>
      </c>
      <c r="F124">
        <v>128</v>
      </c>
      <c r="G124">
        <v>198.08</v>
      </c>
      <c r="H124">
        <v>46116</v>
      </c>
      <c r="I124">
        <v>46117</v>
      </c>
      <c r="J124" t="s">
        <v>62</v>
      </c>
      <c r="K124" t="s">
        <v>21</v>
      </c>
      <c r="L124" t="s">
        <v>45</v>
      </c>
      <c r="M124">
        <f t="shared" si="2"/>
        <v>25354.240000000002</v>
      </c>
      <c r="N124">
        <f t="shared" si="3"/>
        <v>39</v>
      </c>
      <c r="O124" t="str">
        <f ca="1">IFERROR((G124-_xludf.XLOOKUP(D124,Articles!A:A,Articles!D:D))/_xludf.XLOOKUP(D124,Articles!A:A,Articles!D:D),"")</f>
        <v/>
      </c>
      <c r="P124" t="s">
        <v>29</v>
      </c>
    </row>
    <row r="125" spans="1:16" x14ac:dyDescent="0.3">
      <c r="A125" t="s">
        <v>224</v>
      </c>
      <c r="B125">
        <v>46040</v>
      </c>
      <c r="C125" t="s">
        <v>67</v>
      </c>
      <c r="D125" t="s">
        <v>126</v>
      </c>
      <c r="E125" t="s">
        <v>37</v>
      </c>
      <c r="F125">
        <v>76</v>
      </c>
      <c r="G125">
        <v>300.91000000000003</v>
      </c>
      <c r="H125">
        <v>46068</v>
      </c>
      <c r="I125">
        <v>46070</v>
      </c>
      <c r="J125" t="s">
        <v>20</v>
      </c>
      <c r="K125" t="s">
        <v>21</v>
      </c>
      <c r="L125" t="s">
        <v>28</v>
      </c>
      <c r="M125">
        <f t="shared" si="2"/>
        <v>22869.160000000003</v>
      </c>
      <c r="N125">
        <f t="shared" si="3"/>
        <v>30</v>
      </c>
      <c r="O125" t="str">
        <f ca="1">IFERROR((G125-_xludf.XLOOKUP(D125,Articles!A:A,Articles!D:D))/_xludf.XLOOKUP(D125,Articles!A:A,Articles!D:D),"")</f>
        <v/>
      </c>
      <c r="P125" t="s">
        <v>29</v>
      </c>
    </row>
    <row r="126" spans="1:16" x14ac:dyDescent="0.3">
      <c r="A126" t="s">
        <v>225</v>
      </c>
      <c r="B126">
        <v>45990</v>
      </c>
      <c r="C126" t="s">
        <v>95</v>
      </c>
      <c r="D126" t="s">
        <v>78</v>
      </c>
      <c r="E126" t="s">
        <v>56</v>
      </c>
      <c r="F126">
        <v>115</v>
      </c>
      <c r="G126">
        <v>84.65</v>
      </c>
      <c r="H126">
        <v>46034</v>
      </c>
      <c r="I126">
        <v>46038</v>
      </c>
      <c r="J126" t="s">
        <v>20</v>
      </c>
      <c r="K126" t="s">
        <v>21</v>
      </c>
      <c r="L126" t="s">
        <v>48</v>
      </c>
      <c r="M126">
        <f t="shared" si="2"/>
        <v>9734.75</v>
      </c>
      <c r="N126">
        <f t="shared" si="3"/>
        <v>48</v>
      </c>
      <c r="O126" t="str">
        <f ca="1">IFERROR((G126-_xludf.XLOOKUP(D126,Articles!A:A,Articles!D:D))/_xludf.XLOOKUP(D126,Articles!A:A,Articles!D:D),"")</f>
        <v/>
      </c>
      <c r="P126" t="s">
        <v>23</v>
      </c>
    </row>
    <row r="127" spans="1:16" x14ac:dyDescent="0.3">
      <c r="A127" t="s">
        <v>226</v>
      </c>
      <c r="B127">
        <v>45994</v>
      </c>
      <c r="C127" t="s">
        <v>31</v>
      </c>
      <c r="D127" t="s">
        <v>40</v>
      </c>
      <c r="E127" t="s">
        <v>37</v>
      </c>
      <c r="F127">
        <v>132</v>
      </c>
      <c r="G127">
        <v>134.61000000000001</v>
      </c>
      <c r="H127">
        <v>46044</v>
      </c>
      <c r="I127">
        <v>46044</v>
      </c>
      <c r="J127" t="s">
        <v>52</v>
      </c>
      <c r="K127" t="s">
        <v>21</v>
      </c>
      <c r="L127" t="s">
        <v>48</v>
      </c>
      <c r="M127">
        <f t="shared" si="2"/>
        <v>17768.52</v>
      </c>
      <c r="N127">
        <f t="shared" si="3"/>
        <v>50</v>
      </c>
      <c r="O127" t="str">
        <f ca="1">IFERROR((G127-_xludf.XLOOKUP(D127,Articles!A:A,Articles!D:D))/_xludf.XLOOKUP(D127,Articles!A:A,Articles!D:D),"")</f>
        <v/>
      </c>
      <c r="P127" t="s">
        <v>29</v>
      </c>
    </row>
    <row r="128" spans="1:16" x14ac:dyDescent="0.3">
      <c r="A128" t="s">
        <v>227</v>
      </c>
      <c r="B128">
        <v>45961</v>
      </c>
      <c r="C128" t="s">
        <v>39</v>
      </c>
      <c r="D128" t="s">
        <v>206</v>
      </c>
      <c r="E128" t="s">
        <v>27</v>
      </c>
      <c r="F128">
        <v>200</v>
      </c>
      <c r="G128">
        <v>196.1</v>
      </c>
      <c r="H128">
        <v>45975</v>
      </c>
      <c r="I128">
        <v>45979</v>
      </c>
      <c r="J128" t="s">
        <v>62</v>
      </c>
      <c r="K128" t="s">
        <v>21</v>
      </c>
      <c r="L128" t="s">
        <v>45</v>
      </c>
      <c r="M128">
        <f t="shared" si="2"/>
        <v>39220</v>
      </c>
      <c r="N128">
        <f t="shared" si="3"/>
        <v>18</v>
      </c>
      <c r="O128" t="str">
        <f ca="1">IFERROR((G128-_xludf.XLOOKUP(D128,Articles!A:A,Articles!D:D))/_xludf.XLOOKUP(D128,Articles!A:A,Articles!D:D),"")</f>
        <v/>
      </c>
      <c r="P128" t="s">
        <v>29</v>
      </c>
    </row>
    <row r="129" spans="1:16" x14ac:dyDescent="0.3">
      <c r="A129" t="s">
        <v>228</v>
      </c>
      <c r="B129">
        <v>46014</v>
      </c>
      <c r="C129" t="s">
        <v>64</v>
      </c>
      <c r="D129" t="s">
        <v>98</v>
      </c>
      <c r="E129" t="s">
        <v>19</v>
      </c>
      <c r="F129">
        <v>196</v>
      </c>
      <c r="G129">
        <v>297.12</v>
      </c>
      <c r="H129">
        <v>46023</v>
      </c>
      <c r="I129">
        <v>46043</v>
      </c>
      <c r="J129" t="s">
        <v>20</v>
      </c>
      <c r="K129" t="s">
        <v>21</v>
      </c>
      <c r="L129" t="s">
        <v>28</v>
      </c>
      <c r="M129">
        <f t="shared" si="2"/>
        <v>58235.520000000004</v>
      </c>
      <c r="N129">
        <f t="shared" si="3"/>
        <v>29</v>
      </c>
      <c r="O129" t="str">
        <f ca="1">IFERROR((G129-_xludf.XLOOKUP(D129,Articles!A:A,Articles!D:D))/_xludf.XLOOKUP(D129,Articles!A:A,Articles!D:D),"")</f>
        <v/>
      </c>
      <c r="P129" t="s">
        <v>29</v>
      </c>
    </row>
    <row r="130" spans="1:16" x14ac:dyDescent="0.3">
      <c r="A130" t="s">
        <v>229</v>
      </c>
      <c r="B130">
        <v>46089</v>
      </c>
      <c r="C130" t="s">
        <v>80</v>
      </c>
      <c r="D130" t="s">
        <v>110</v>
      </c>
      <c r="E130" t="s">
        <v>37</v>
      </c>
      <c r="F130">
        <v>48</v>
      </c>
      <c r="G130">
        <v>421.38</v>
      </c>
      <c r="H130">
        <v>46134</v>
      </c>
      <c r="I130">
        <v>46146</v>
      </c>
      <c r="J130" t="s">
        <v>41</v>
      </c>
      <c r="K130" t="s">
        <v>21</v>
      </c>
      <c r="L130" t="s">
        <v>28</v>
      </c>
      <c r="M130">
        <f t="shared" ref="M130:M193" si="4">F130*G130</f>
        <v>20226.239999999998</v>
      </c>
      <c r="N130">
        <f t="shared" ref="N130:N193" si="5">IF(I130="","",I130-B130)</f>
        <v>57</v>
      </c>
      <c r="O130" t="str">
        <f ca="1">IFERROR((G130-_xludf.XLOOKUP(D130,Articles!A:A,Articles!D:D))/_xludf.XLOOKUP(D130,Articles!A:A,Articles!D:D),"")</f>
        <v/>
      </c>
      <c r="P130" t="s">
        <v>34</v>
      </c>
    </row>
    <row r="131" spans="1:16" x14ac:dyDescent="0.3">
      <c r="A131" t="s">
        <v>230</v>
      </c>
      <c r="B131">
        <v>46078</v>
      </c>
      <c r="C131" t="s">
        <v>83</v>
      </c>
      <c r="D131" t="s">
        <v>212</v>
      </c>
      <c r="E131" t="s">
        <v>27</v>
      </c>
      <c r="F131">
        <v>235</v>
      </c>
      <c r="G131">
        <v>475.88</v>
      </c>
      <c r="H131">
        <v>46106</v>
      </c>
      <c r="I131">
        <v>46105</v>
      </c>
      <c r="J131" t="s">
        <v>41</v>
      </c>
      <c r="K131" t="s">
        <v>21</v>
      </c>
      <c r="L131" t="s">
        <v>45</v>
      </c>
      <c r="M131">
        <f t="shared" si="4"/>
        <v>111831.8</v>
      </c>
      <c r="N131">
        <f t="shared" si="5"/>
        <v>27</v>
      </c>
      <c r="O131" t="str">
        <f ca="1">IFERROR((G131-_xludf.XLOOKUP(D131,Articles!A:A,Articles!D:D))/_xludf.XLOOKUP(D131,Articles!A:A,Articles!D:D),"")</f>
        <v/>
      </c>
      <c r="P131" t="s">
        <v>29</v>
      </c>
    </row>
    <row r="132" spans="1:16" x14ac:dyDescent="0.3">
      <c r="A132" t="s">
        <v>231</v>
      </c>
      <c r="B132">
        <v>46071</v>
      </c>
      <c r="C132" t="s">
        <v>232</v>
      </c>
      <c r="D132" t="s">
        <v>73</v>
      </c>
      <c r="E132" t="s">
        <v>27</v>
      </c>
      <c r="F132">
        <v>89</v>
      </c>
      <c r="G132">
        <v>304.99</v>
      </c>
      <c r="H132">
        <v>46096</v>
      </c>
      <c r="I132">
        <v>46108</v>
      </c>
      <c r="J132" t="s">
        <v>20</v>
      </c>
      <c r="K132" t="s">
        <v>21</v>
      </c>
      <c r="L132" t="s">
        <v>28</v>
      </c>
      <c r="M132">
        <f t="shared" si="4"/>
        <v>27144.11</v>
      </c>
      <c r="N132">
        <f t="shared" si="5"/>
        <v>37</v>
      </c>
      <c r="O132" t="str">
        <f ca="1">IFERROR((G132-_xludf.XLOOKUP(D132,Articles!A:A,Articles!D:D))/_xludf.XLOOKUP(D132,Articles!A:A,Articles!D:D),"")</f>
        <v/>
      </c>
      <c r="P132" t="s">
        <v>29</v>
      </c>
    </row>
    <row r="133" spans="1:16" x14ac:dyDescent="0.3">
      <c r="A133" t="s">
        <v>233</v>
      </c>
      <c r="B133">
        <v>45958</v>
      </c>
      <c r="C133" t="s">
        <v>123</v>
      </c>
      <c r="D133" t="s">
        <v>98</v>
      </c>
      <c r="E133" t="s">
        <v>19</v>
      </c>
      <c r="F133">
        <v>32</v>
      </c>
      <c r="G133">
        <v>389.85</v>
      </c>
      <c r="H133">
        <v>45967</v>
      </c>
      <c r="J133" t="s">
        <v>20</v>
      </c>
      <c r="K133" t="s">
        <v>21</v>
      </c>
      <c r="L133" t="s">
        <v>45</v>
      </c>
      <c r="M133">
        <f t="shared" si="4"/>
        <v>12475.2</v>
      </c>
      <c r="N133" t="str">
        <f t="shared" si="5"/>
        <v/>
      </c>
      <c r="O133" t="str">
        <f ca="1">IFERROR((G133-_xludf.XLOOKUP(D133,Articles!A:A,Articles!D:D))/_xludf.XLOOKUP(D133,Articles!A:A,Articles!D:D),"")</f>
        <v/>
      </c>
      <c r="P133" t="s">
        <v>29</v>
      </c>
    </row>
    <row r="134" spans="1:16" x14ac:dyDescent="0.3">
      <c r="A134" t="s">
        <v>234</v>
      </c>
      <c r="B134">
        <v>46057</v>
      </c>
      <c r="C134" t="s">
        <v>158</v>
      </c>
      <c r="D134" t="s">
        <v>51</v>
      </c>
      <c r="E134" t="s">
        <v>37</v>
      </c>
      <c r="F134">
        <v>227</v>
      </c>
      <c r="G134">
        <v>265.19</v>
      </c>
      <c r="H134">
        <v>46086</v>
      </c>
      <c r="I134">
        <v>46090</v>
      </c>
      <c r="J134" t="s">
        <v>52</v>
      </c>
      <c r="K134" t="s">
        <v>21</v>
      </c>
      <c r="L134" t="s">
        <v>45</v>
      </c>
      <c r="M134">
        <f t="shared" si="4"/>
        <v>60198.13</v>
      </c>
      <c r="N134">
        <f t="shared" si="5"/>
        <v>33</v>
      </c>
      <c r="O134" t="str">
        <f ca="1">IFERROR((G134-_xludf.XLOOKUP(D134,Articles!A:A,Articles!D:D))/_xludf.XLOOKUP(D134,Articles!A:A,Articles!D:D),"")</f>
        <v/>
      </c>
      <c r="P134" t="s">
        <v>29</v>
      </c>
    </row>
    <row r="135" spans="1:16" x14ac:dyDescent="0.3">
      <c r="A135" t="s">
        <v>235</v>
      </c>
      <c r="B135">
        <v>45933</v>
      </c>
      <c r="C135" t="s">
        <v>95</v>
      </c>
      <c r="D135" t="s">
        <v>112</v>
      </c>
      <c r="E135" t="s">
        <v>27</v>
      </c>
      <c r="F135">
        <v>249</v>
      </c>
      <c r="G135">
        <v>415.36</v>
      </c>
      <c r="H135">
        <v>45988</v>
      </c>
      <c r="I135">
        <v>45995</v>
      </c>
      <c r="J135" t="s">
        <v>20</v>
      </c>
      <c r="K135" t="s">
        <v>21</v>
      </c>
      <c r="L135" t="s">
        <v>22</v>
      </c>
      <c r="M135">
        <f t="shared" si="4"/>
        <v>103424.64</v>
      </c>
      <c r="N135">
        <f t="shared" si="5"/>
        <v>62</v>
      </c>
      <c r="O135" t="str">
        <f ca="1">IFERROR((G135-_xludf.XLOOKUP(D135,Articles!A:A,Articles!D:D))/_xludf.XLOOKUP(D135,Articles!A:A,Articles!D:D),"")</f>
        <v/>
      </c>
      <c r="P135" t="s">
        <v>29</v>
      </c>
    </row>
    <row r="136" spans="1:16" x14ac:dyDescent="0.3">
      <c r="A136" t="s">
        <v>236</v>
      </c>
      <c r="B136">
        <v>45947</v>
      </c>
      <c r="C136" t="s">
        <v>75</v>
      </c>
      <c r="D136" t="s">
        <v>100</v>
      </c>
      <c r="E136" t="s">
        <v>56</v>
      </c>
      <c r="F136">
        <v>197</v>
      </c>
      <c r="G136">
        <v>106.42</v>
      </c>
      <c r="H136">
        <v>45977</v>
      </c>
      <c r="I136">
        <v>46002</v>
      </c>
      <c r="J136" t="s">
        <v>62</v>
      </c>
      <c r="K136" t="s">
        <v>21</v>
      </c>
      <c r="L136" t="s">
        <v>22</v>
      </c>
      <c r="M136">
        <f t="shared" si="4"/>
        <v>20964.740000000002</v>
      </c>
      <c r="N136">
        <f t="shared" si="5"/>
        <v>55</v>
      </c>
      <c r="O136" t="str">
        <f ca="1">IFERROR((G136-_xludf.XLOOKUP(D136,Articles!A:A,Articles!D:D))/_xludf.XLOOKUP(D136,Articles!A:A,Articles!D:D),"")</f>
        <v/>
      </c>
      <c r="P136" t="s">
        <v>29</v>
      </c>
    </row>
    <row r="137" spans="1:16" x14ac:dyDescent="0.3">
      <c r="A137" t="s">
        <v>237</v>
      </c>
      <c r="B137">
        <v>45943</v>
      </c>
      <c r="C137" t="s">
        <v>83</v>
      </c>
      <c r="D137" t="s">
        <v>59</v>
      </c>
      <c r="E137" t="s">
        <v>19</v>
      </c>
      <c r="F137">
        <v>42</v>
      </c>
      <c r="G137">
        <v>279.67</v>
      </c>
      <c r="H137">
        <v>45995</v>
      </c>
      <c r="I137">
        <v>45997</v>
      </c>
      <c r="J137" t="s">
        <v>62</v>
      </c>
      <c r="K137" t="s">
        <v>21</v>
      </c>
      <c r="L137" t="s">
        <v>48</v>
      </c>
      <c r="M137">
        <f t="shared" si="4"/>
        <v>11746.140000000001</v>
      </c>
      <c r="N137">
        <f t="shared" si="5"/>
        <v>54</v>
      </c>
      <c r="O137" t="str">
        <f ca="1">IFERROR((G137-_xludf.XLOOKUP(D137,Articles!A:A,Articles!D:D))/_xludf.XLOOKUP(D137,Articles!A:A,Articles!D:D),"")</f>
        <v/>
      </c>
      <c r="P137" t="s">
        <v>29</v>
      </c>
    </row>
    <row r="138" spans="1:16" x14ac:dyDescent="0.3">
      <c r="A138" t="s">
        <v>238</v>
      </c>
      <c r="B138">
        <v>46063</v>
      </c>
      <c r="C138" t="s">
        <v>43</v>
      </c>
      <c r="D138" t="s">
        <v>239</v>
      </c>
      <c r="E138" t="s">
        <v>27</v>
      </c>
      <c r="F138">
        <v>245</v>
      </c>
      <c r="G138">
        <v>335.93</v>
      </c>
      <c r="H138">
        <v>46118</v>
      </c>
      <c r="I138">
        <v>46132</v>
      </c>
      <c r="J138" t="s">
        <v>20</v>
      </c>
      <c r="K138" t="s">
        <v>21</v>
      </c>
      <c r="L138" t="s">
        <v>22</v>
      </c>
      <c r="M138">
        <f t="shared" si="4"/>
        <v>82302.850000000006</v>
      </c>
      <c r="N138">
        <f t="shared" si="5"/>
        <v>69</v>
      </c>
      <c r="O138" t="str">
        <f ca="1">IFERROR((G138-_xludf.XLOOKUP(D138,Articles!A:A,Articles!D:D))/_xludf.XLOOKUP(D138,Articles!A:A,Articles!D:D),"")</f>
        <v/>
      </c>
      <c r="P138" t="s">
        <v>29</v>
      </c>
    </row>
    <row r="139" spans="1:16" x14ac:dyDescent="0.3">
      <c r="A139" t="s">
        <v>240</v>
      </c>
      <c r="B139">
        <v>45944</v>
      </c>
      <c r="C139" t="s">
        <v>75</v>
      </c>
      <c r="D139" t="s">
        <v>81</v>
      </c>
      <c r="E139" t="s">
        <v>56</v>
      </c>
      <c r="F139">
        <v>169</v>
      </c>
      <c r="G139">
        <v>432.18</v>
      </c>
      <c r="H139">
        <v>46006</v>
      </c>
      <c r="I139">
        <v>46008</v>
      </c>
      <c r="J139" t="s">
        <v>62</v>
      </c>
      <c r="K139" t="s">
        <v>21</v>
      </c>
      <c r="L139" t="s">
        <v>48</v>
      </c>
      <c r="M139">
        <f t="shared" si="4"/>
        <v>73038.42</v>
      </c>
      <c r="N139">
        <f t="shared" si="5"/>
        <v>64</v>
      </c>
      <c r="O139" t="str">
        <f ca="1">IFERROR((G139-_xludf.XLOOKUP(D139,Articles!A:A,Articles!D:D))/_xludf.XLOOKUP(D139,Articles!A:A,Articles!D:D),"")</f>
        <v/>
      </c>
      <c r="P139" t="s">
        <v>29</v>
      </c>
    </row>
    <row r="140" spans="1:16" x14ac:dyDescent="0.3">
      <c r="A140" t="s">
        <v>241</v>
      </c>
      <c r="B140">
        <v>45968</v>
      </c>
      <c r="C140" t="s">
        <v>75</v>
      </c>
      <c r="D140" t="s">
        <v>18</v>
      </c>
      <c r="E140" t="s">
        <v>19</v>
      </c>
      <c r="F140">
        <v>167</v>
      </c>
      <c r="G140">
        <v>285.77</v>
      </c>
      <c r="H140">
        <v>46025</v>
      </c>
      <c r="I140">
        <v>46029</v>
      </c>
      <c r="J140" t="s">
        <v>20</v>
      </c>
      <c r="K140" t="s">
        <v>21</v>
      </c>
      <c r="L140" t="s">
        <v>33</v>
      </c>
      <c r="M140">
        <f t="shared" si="4"/>
        <v>47723.59</v>
      </c>
      <c r="N140">
        <f t="shared" si="5"/>
        <v>61</v>
      </c>
      <c r="O140" t="str">
        <f ca="1">IFERROR((G140-_xludf.XLOOKUP(D140,Articles!A:A,Articles!D:D))/_xludf.XLOOKUP(D140,Articles!A:A,Articles!D:D),"")</f>
        <v/>
      </c>
      <c r="P140" t="s">
        <v>29</v>
      </c>
    </row>
    <row r="141" spans="1:16" x14ac:dyDescent="0.3">
      <c r="A141" t="s">
        <v>242</v>
      </c>
      <c r="B141">
        <v>46107</v>
      </c>
      <c r="C141" t="s">
        <v>50</v>
      </c>
      <c r="D141" t="s">
        <v>102</v>
      </c>
      <c r="E141" t="s">
        <v>37</v>
      </c>
      <c r="F141">
        <v>207</v>
      </c>
      <c r="G141">
        <v>471.36</v>
      </c>
      <c r="H141">
        <v>46167</v>
      </c>
      <c r="I141">
        <v>46174</v>
      </c>
      <c r="J141" t="s">
        <v>41</v>
      </c>
      <c r="K141" t="s">
        <v>21</v>
      </c>
      <c r="L141" t="s">
        <v>45</v>
      </c>
      <c r="M141">
        <f t="shared" si="4"/>
        <v>97571.520000000004</v>
      </c>
      <c r="N141">
        <f t="shared" si="5"/>
        <v>67</v>
      </c>
      <c r="O141" t="str">
        <f ca="1">IFERROR((G141-_xludf.XLOOKUP(D141,Articles!A:A,Articles!D:D))/_xludf.XLOOKUP(D141,Articles!A:A,Articles!D:D),"")</f>
        <v/>
      </c>
      <c r="P141" t="s">
        <v>29</v>
      </c>
    </row>
    <row r="142" spans="1:16" x14ac:dyDescent="0.3">
      <c r="A142" t="s">
        <v>243</v>
      </c>
      <c r="B142">
        <v>45953</v>
      </c>
      <c r="C142" t="s">
        <v>95</v>
      </c>
      <c r="D142" t="s">
        <v>102</v>
      </c>
      <c r="E142" t="s">
        <v>37</v>
      </c>
      <c r="F142">
        <v>88</v>
      </c>
      <c r="G142">
        <v>297.58</v>
      </c>
      <c r="H142">
        <v>46014</v>
      </c>
      <c r="I142">
        <v>46016</v>
      </c>
      <c r="J142" t="s">
        <v>20</v>
      </c>
      <c r="K142" t="s">
        <v>21</v>
      </c>
      <c r="L142" t="s">
        <v>28</v>
      </c>
      <c r="M142">
        <f t="shared" si="4"/>
        <v>26187.039999999997</v>
      </c>
      <c r="N142">
        <f t="shared" si="5"/>
        <v>63</v>
      </c>
      <c r="O142" t="str">
        <f ca="1">IFERROR((G142-_xludf.XLOOKUP(D142,Articles!A:A,Articles!D:D))/_xludf.XLOOKUP(D142,Articles!A:A,Articles!D:D),"")</f>
        <v/>
      </c>
      <c r="P142" t="s">
        <v>34</v>
      </c>
    </row>
    <row r="143" spans="1:16" x14ac:dyDescent="0.3">
      <c r="A143" t="s">
        <v>244</v>
      </c>
      <c r="B143">
        <v>46044</v>
      </c>
      <c r="C143" t="s">
        <v>123</v>
      </c>
      <c r="D143" t="s">
        <v>98</v>
      </c>
      <c r="E143" t="s">
        <v>56</v>
      </c>
      <c r="F143">
        <v>-10</v>
      </c>
      <c r="G143">
        <v>321.85000000000002</v>
      </c>
      <c r="H143">
        <v>46058</v>
      </c>
      <c r="I143">
        <v>46057</v>
      </c>
      <c r="J143" t="s">
        <v>20</v>
      </c>
      <c r="K143" t="s">
        <v>21</v>
      </c>
      <c r="L143" t="s">
        <v>48</v>
      </c>
      <c r="M143">
        <f t="shared" si="4"/>
        <v>-3218.5</v>
      </c>
      <c r="N143">
        <f t="shared" si="5"/>
        <v>13</v>
      </c>
      <c r="O143" t="str">
        <f ca="1">IFERROR((G143-_xludf.XLOOKUP(D143,Articles!A:A,Articles!D:D))/_xludf.XLOOKUP(D143,Articles!A:A,Articles!D:D),"")</f>
        <v/>
      </c>
      <c r="P143" t="s">
        <v>29</v>
      </c>
    </row>
    <row r="144" spans="1:16" x14ac:dyDescent="0.3">
      <c r="A144" t="s">
        <v>245</v>
      </c>
      <c r="B144">
        <v>46058</v>
      </c>
      <c r="C144" t="s">
        <v>31</v>
      </c>
      <c r="D144" t="s">
        <v>173</v>
      </c>
      <c r="E144" t="s">
        <v>27</v>
      </c>
      <c r="F144">
        <v>108</v>
      </c>
      <c r="G144">
        <v>202.22</v>
      </c>
      <c r="H144">
        <v>46117</v>
      </c>
      <c r="I144">
        <v>46119</v>
      </c>
      <c r="J144" t="s">
        <v>62</v>
      </c>
      <c r="K144" t="s">
        <v>21</v>
      </c>
      <c r="L144" t="s">
        <v>28</v>
      </c>
      <c r="M144">
        <f t="shared" si="4"/>
        <v>21839.759999999998</v>
      </c>
      <c r="N144">
        <f t="shared" si="5"/>
        <v>61</v>
      </c>
      <c r="O144" t="str">
        <f ca="1">IFERROR((G144-_xludf.XLOOKUP(D144,Articles!A:A,Articles!D:D))/_xludf.XLOOKUP(D144,Articles!A:A,Articles!D:D),"")</f>
        <v/>
      </c>
      <c r="P144" t="s">
        <v>29</v>
      </c>
    </row>
    <row r="145" spans="1:16" x14ac:dyDescent="0.3">
      <c r="A145" t="s">
        <v>246</v>
      </c>
      <c r="B145">
        <v>46020</v>
      </c>
      <c r="C145" t="s">
        <v>123</v>
      </c>
      <c r="D145" t="s">
        <v>47</v>
      </c>
      <c r="E145" t="s">
        <v>37</v>
      </c>
      <c r="F145">
        <v>128</v>
      </c>
      <c r="G145">
        <v>73.31</v>
      </c>
      <c r="H145">
        <v>46046</v>
      </c>
      <c r="I145">
        <v>46043</v>
      </c>
      <c r="J145" t="s">
        <v>41</v>
      </c>
      <c r="K145" t="s">
        <v>21</v>
      </c>
      <c r="L145" t="s">
        <v>28</v>
      </c>
      <c r="M145">
        <f t="shared" si="4"/>
        <v>9383.68</v>
      </c>
      <c r="N145">
        <f t="shared" si="5"/>
        <v>23</v>
      </c>
      <c r="O145" t="str">
        <f ca="1">IFERROR((G145-_xludf.XLOOKUP(D145,Articles!A:A,Articles!D:D))/_xludf.XLOOKUP(D145,Articles!A:A,Articles!D:D),"")</f>
        <v/>
      </c>
      <c r="P145" t="s">
        <v>23</v>
      </c>
    </row>
    <row r="146" spans="1:16" x14ac:dyDescent="0.3">
      <c r="A146" t="s">
        <v>247</v>
      </c>
      <c r="B146">
        <v>45991</v>
      </c>
      <c r="C146" t="s">
        <v>95</v>
      </c>
      <c r="D146" t="s">
        <v>36</v>
      </c>
      <c r="E146" t="s">
        <v>56</v>
      </c>
      <c r="F146">
        <v>13</v>
      </c>
      <c r="G146">
        <v>326.62</v>
      </c>
      <c r="H146">
        <v>46006</v>
      </c>
      <c r="I146">
        <v>46013</v>
      </c>
      <c r="J146" t="s">
        <v>20</v>
      </c>
      <c r="K146" t="s">
        <v>21</v>
      </c>
      <c r="L146" t="s">
        <v>45</v>
      </c>
      <c r="M146">
        <f t="shared" si="4"/>
        <v>4246.0600000000004</v>
      </c>
      <c r="N146">
        <f t="shared" si="5"/>
        <v>22</v>
      </c>
      <c r="O146" t="str">
        <f ca="1">IFERROR((G146-_xludf.XLOOKUP(D146,Articles!A:A,Articles!D:D))/_xludf.XLOOKUP(D146,Articles!A:A,Articles!D:D),"")</f>
        <v/>
      </c>
      <c r="P146" t="s">
        <v>29</v>
      </c>
    </row>
    <row r="147" spans="1:16" x14ac:dyDescent="0.3">
      <c r="A147" t="s">
        <v>248</v>
      </c>
      <c r="B147">
        <v>46087</v>
      </c>
      <c r="C147" t="s">
        <v>67</v>
      </c>
      <c r="D147" t="s">
        <v>206</v>
      </c>
      <c r="E147" t="s">
        <v>27</v>
      </c>
      <c r="F147">
        <v>94</v>
      </c>
      <c r="G147">
        <v>202.8</v>
      </c>
      <c r="H147">
        <v>46101</v>
      </c>
      <c r="I147">
        <v>46098</v>
      </c>
      <c r="J147" t="s">
        <v>20</v>
      </c>
      <c r="K147" t="s">
        <v>21</v>
      </c>
      <c r="L147" t="s">
        <v>33</v>
      </c>
      <c r="M147">
        <f t="shared" si="4"/>
        <v>19063.2</v>
      </c>
      <c r="N147">
        <f t="shared" si="5"/>
        <v>11</v>
      </c>
      <c r="O147" t="str">
        <f ca="1">IFERROR((G147-_xludf.XLOOKUP(D147,Articles!A:A,Articles!D:D))/_xludf.XLOOKUP(D147,Articles!A:A,Articles!D:D),"")</f>
        <v/>
      </c>
      <c r="P147" t="s">
        <v>29</v>
      </c>
    </row>
    <row r="148" spans="1:16" x14ac:dyDescent="0.3">
      <c r="A148" t="s">
        <v>249</v>
      </c>
      <c r="B148">
        <v>45919</v>
      </c>
      <c r="C148" t="s">
        <v>83</v>
      </c>
      <c r="D148" t="s">
        <v>51</v>
      </c>
      <c r="E148" t="s">
        <v>56</v>
      </c>
      <c r="F148">
        <v>99</v>
      </c>
      <c r="G148">
        <v>303.17</v>
      </c>
      <c r="H148">
        <v>45952</v>
      </c>
      <c r="I148">
        <v>45953</v>
      </c>
      <c r="J148" t="s">
        <v>62</v>
      </c>
      <c r="K148" t="s">
        <v>21</v>
      </c>
      <c r="L148" t="s">
        <v>28</v>
      </c>
      <c r="M148">
        <f t="shared" si="4"/>
        <v>30013.83</v>
      </c>
      <c r="N148">
        <f t="shared" si="5"/>
        <v>34</v>
      </c>
      <c r="O148" t="str">
        <f ca="1">IFERROR((G148-_xludf.XLOOKUP(D148,Articles!A:A,Articles!D:D))/_xludf.XLOOKUP(D148,Articles!A:A,Articles!D:D),"")</f>
        <v/>
      </c>
      <c r="P148" t="s">
        <v>29</v>
      </c>
    </row>
    <row r="149" spans="1:16" x14ac:dyDescent="0.3">
      <c r="A149" t="s">
        <v>250</v>
      </c>
      <c r="B149">
        <v>45996</v>
      </c>
      <c r="C149" t="s">
        <v>31</v>
      </c>
      <c r="D149" t="s">
        <v>145</v>
      </c>
      <c r="E149" t="s">
        <v>37</v>
      </c>
      <c r="F149">
        <v>204</v>
      </c>
      <c r="G149">
        <v>269.62</v>
      </c>
      <c r="H149">
        <v>46024</v>
      </c>
      <c r="I149">
        <v>46026</v>
      </c>
      <c r="J149" t="s">
        <v>20</v>
      </c>
      <c r="K149" t="s">
        <v>21</v>
      </c>
      <c r="L149" t="s">
        <v>22</v>
      </c>
      <c r="M149">
        <f t="shared" si="4"/>
        <v>55002.48</v>
      </c>
      <c r="N149">
        <f t="shared" si="5"/>
        <v>30</v>
      </c>
      <c r="O149" t="str">
        <f ca="1">IFERROR((G149-_xludf.XLOOKUP(D149,Articles!A:A,Articles!D:D))/_xludf.XLOOKUP(D149,Articles!A:A,Articles!D:D),"")</f>
        <v/>
      </c>
      <c r="P149" t="s">
        <v>29</v>
      </c>
    </row>
    <row r="150" spans="1:16" x14ac:dyDescent="0.3">
      <c r="A150" t="s">
        <v>251</v>
      </c>
      <c r="B150">
        <v>45910</v>
      </c>
      <c r="C150" t="s">
        <v>132</v>
      </c>
      <c r="D150" t="s">
        <v>18</v>
      </c>
      <c r="E150" t="s">
        <v>27</v>
      </c>
      <c r="F150">
        <v>36</v>
      </c>
      <c r="G150">
        <v>332.97</v>
      </c>
      <c r="H150">
        <v>45965</v>
      </c>
      <c r="I150">
        <v>45977</v>
      </c>
      <c r="J150" t="s">
        <v>20</v>
      </c>
      <c r="K150" t="s">
        <v>21</v>
      </c>
      <c r="L150" t="s">
        <v>33</v>
      </c>
      <c r="M150">
        <f t="shared" si="4"/>
        <v>11986.920000000002</v>
      </c>
      <c r="N150">
        <f t="shared" si="5"/>
        <v>67</v>
      </c>
      <c r="O150" t="str">
        <f ca="1">IFERROR((G150-_xludf.XLOOKUP(D150,Articles!A:A,Articles!D:D))/_xludf.XLOOKUP(D150,Articles!A:A,Articles!D:D),"")</f>
        <v/>
      </c>
      <c r="P150" t="s">
        <v>23</v>
      </c>
    </row>
    <row r="151" spans="1:16" x14ac:dyDescent="0.3">
      <c r="A151" t="s">
        <v>252</v>
      </c>
      <c r="B151">
        <v>45942</v>
      </c>
      <c r="C151" t="s">
        <v>85</v>
      </c>
      <c r="D151" t="s">
        <v>212</v>
      </c>
      <c r="E151" t="s">
        <v>37</v>
      </c>
      <c r="F151">
        <v>101</v>
      </c>
      <c r="G151">
        <v>474.89</v>
      </c>
      <c r="H151">
        <v>45971</v>
      </c>
      <c r="I151">
        <v>45973</v>
      </c>
      <c r="J151" t="s">
        <v>20</v>
      </c>
      <c r="K151" t="s">
        <v>21</v>
      </c>
      <c r="L151" t="s">
        <v>22</v>
      </c>
      <c r="M151">
        <f t="shared" si="4"/>
        <v>47963.89</v>
      </c>
      <c r="N151">
        <f t="shared" si="5"/>
        <v>31</v>
      </c>
      <c r="O151" t="str">
        <f ca="1">IFERROR((G151-_xludf.XLOOKUP(D151,Articles!A:A,Articles!D:D))/_xludf.XLOOKUP(D151,Articles!A:A,Articles!D:D),"")</f>
        <v/>
      </c>
      <c r="P151" t="s">
        <v>29</v>
      </c>
    </row>
    <row r="152" spans="1:16" x14ac:dyDescent="0.3">
      <c r="A152" t="s">
        <v>253</v>
      </c>
      <c r="B152">
        <v>46109</v>
      </c>
      <c r="C152" t="s">
        <v>72</v>
      </c>
      <c r="D152" t="s">
        <v>121</v>
      </c>
      <c r="E152" t="s">
        <v>56</v>
      </c>
      <c r="F152">
        <v>5</v>
      </c>
      <c r="G152">
        <v>86.57</v>
      </c>
      <c r="H152">
        <v>46160</v>
      </c>
      <c r="I152">
        <v>46159</v>
      </c>
      <c r="J152" t="s">
        <v>52</v>
      </c>
      <c r="K152" t="s">
        <v>21</v>
      </c>
      <c r="L152" t="s">
        <v>22</v>
      </c>
      <c r="M152">
        <f t="shared" si="4"/>
        <v>432.84999999999997</v>
      </c>
      <c r="N152">
        <f t="shared" si="5"/>
        <v>50</v>
      </c>
      <c r="O152" t="str">
        <f ca="1">IFERROR((G152-_xludf.XLOOKUP(D152,Articles!A:A,Articles!D:D))/_xludf.XLOOKUP(D152,Articles!A:A,Articles!D:D),"")</f>
        <v/>
      </c>
      <c r="P152" t="s">
        <v>29</v>
      </c>
    </row>
    <row r="153" spans="1:16" x14ac:dyDescent="0.3">
      <c r="A153" t="s">
        <v>254</v>
      </c>
      <c r="B153">
        <v>46068</v>
      </c>
      <c r="C153" t="s">
        <v>67</v>
      </c>
      <c r="D153" t="s">
        <v>102</v>
      </c>
      <c r="E153" t="s">
        <v>27</v>
      </c>
      <c r="F153">
        <v>201</v>
      </c>
      <c r="G153">
        <v>329.19</v>
      </c>
      <c r="H153">
        <v>46133</v>
      </c>
      <c r="I153">
        <v>46141</v>
      </c>
      <c r="J153" t="s">
        <v>20</v>
      </c>
      <c r="K153" t="s">
        <v>21</v>
      </c>
      <c r="L153" t="s">
        <v>22</v>
      </c>
      <c r="M153">
        <f t="shared" si="4"/>
        <v>66167.19</v>
      </c>
      <c r="N153">
        <f t="shared" si="5"/>
        <v>73</v>
      </c>
      <c r="O153" t="str">
        <f ca="1">IFERROR((G153-_xludf.XLOOKUP(D153,Articles!A:A,Articles!D:D))/_xludf.XLOOKUP(D153,Articles!A:A,Articles!D:D),"")</f>
        <v/>
      </c>
      <c r="P153" t="s">
        <v>29</v>
      </c>
    </row>
    <row r="154" spans="1:16" x14ac:dyDescent="0.3">
      <c r="A154" t="s">
        <v>255</v>
      </c>
      <c r="B154">
        <v>46099</v>
      </c>
      <c r="C154" t="s">
        <v>114</v>
      </c>
      <c r="D154" t="s">
        <v>100</v>
      </c>
      <c r="E154" t="s">
        <v>56</v>
      </c>
      <c r="F154">
        <v>216</v>
      </c>
      <c r="G154">
        <v>90</v>
      </c>
      <c r="H154">
        <v>46133</v>
      </c>
      <c r="I154">
        <v>46133</v>
      </c>
      <c r="J154" t="s">
        <v>41</v>
      </c>
      <c r="K154" t="s">
        <v>21</v>
      </c>
      <c r="L154" t="s">
        <v>28</v>
      </c>
      <c r="M154">
        <f t="shared" si="4"/>
        <v>19440</v>
      </c>
      <c r="N154">
        <f t="shared" si="5"/>
        <v>34</v>
      </c>
      <c r="O154" t="str">
        <f ca="1">IFERROR((G154-_xludf.XLOOKUP(D154,Articles!A:A,Articles!D:D))/_xludf.XLOOKUP(D154,Articles!A:A,Articles!D:D),"")</f>
        <v/>
      </c>
      <c r="P154" t="s">
        <v>23</v>
      </c>
    </row>
    <row r="155" spans="1:16" x14ac:dyDescent="0.3">
      <c r="A155" t="s">
        <v>256</v>
      </c>
      <c r="B155">
        <v>45981</v>
      </c>
      <c r="C155" t="s">
        <v>95</v>
      </c>
      <c r="D155" t="s">
        <v>209</v>
      </c>
      <c r="E155" t="s">
        <v>37</v>
      </c>
      <c r="F155">
        <v>108</v>
      </c>
      <c r="G155">
        <v>224.76</v>
      </c>
      <c r="H155">
        <v>46003</v>
      </c>
      <c r="I155">
        <v>46007</v>
      </c>
      <c r="J155" t="s">
        <v>20</v>
      </c>
      <c r="K155" t="s">
        <v>21</v>
      </c>
      <c r="L155" t="s">
        <v>48</v>
      </c>
      <c r="M155">
        <f t="shared" si="4"/>
        <v>24274.079999999998</v>
      </c>
      <c r="N155">
        <f t="shared" si="5"/>
        <v>26</v>
      </c>
      <c r="O155" t="str">
        <f ca="1">IFERROR((G155-_xludf.XLOOKUP(D155,Articles!A:A,Articles!D:D))/_xludf.XLOOKUP(D155,Articles!A:A,Articles!D:D),"")</f>
        <v/>
      </c>
      <c r="P155" t="s">
        <v>29</v>
      </c>
    </row>
    <row r="156" spans="1:16" x14ac:dyDescent="0.3">
      <c r="A156" t="s">
        <v>257</v>
      </c>
      <c r="B156">
        <v>45954</v>
      </c>
      <c r="C156" t="s">
        <v>123</v>
      </c>
      <c r="D156" t="s">
        <v>206</v>
      </c>
      <c r="E156" t="s">
        <v>27</v>
      </c>
      <c r="F156">
        <v>-5</v>
      </c>
      <c r="G156">
        <v>178.06</v>
      </c>
      <c r="H156">
        <v>45973</v>
      </c>
      <c r="I156">
        <v>45980</v>
      </c>
      <c r="J156" t="s">
        <v>20</v>
      </c>
      <c r="K156" t="s">
        <v>21</v>
      </c>
      <c r="L156" t="s">
        <v>45</v>
      </c>
      <c r="M156">
        <f t="shared" si="4"/>
        <v>-890.3</v>
      </c>
      <c r="N156">
        <f t="shared" si="5"/>
        <v>26</v>
      </c>
      <c r="O156" t="str">
        <f ca="1">IFERROR((G156-_xludf.XLOOKUP(D156,Articles!A:A,Articles!D:D))/_xludf.XLOOKUP(D156,Articles!A:A,Articles!D:D),"")</f>
        <v/>
      </c>
      <c r="P156" t="s">
        <v>29</v>
      </c>
    </row>
    <row r="157" spans="1:16" x14ac:dyDescent="0.3">
      <c r="A157" t="s">
        <v>258</v>
      </c>
      <c r="B157">
        <v>46040</v>
      </c>
      <c r="C157" t="s">
        <v>85</v>
      </c>
      <c r="D157" t="s">
        <v>69</v>
      </c>
      <c r="E157" t="s">
        <v>27</v>
      </c>
      <c r="F157">
        <v>91</v>
      </c>
      <c r="G157">
        <v>178.11</v>
      </c>
      <c r="H157">
        <v>46103</v>
      </c>
      <c r="I157">
        <v>46104</v>
      </c>
      <c r="J157" t="s">
        <v>20</v>
      </c>
      <c r="K157" t="s">
        <v>21</v>
      </c>
      <c r="L157" t="s">
        <v>33</v>
      </c>
      <c r="M157">
        <f t="shared" si="4"/>
        <v>16208.010000000002</v>
      </c>
      <c r="N157">
        <f t="shared" si="5"/>
        <v>64</v>
      </c>
      <c r="O157" t="str">
        <f ca="1">IFERROR((G157-_xludf.XLOOKUP(D157,Articles!A:A,Articles!D:D))/_xludf.XLOOKUP(D157,Articles!A:A,Articles!D:D),"")</f>
        <v/>
      </c>
      <c r="P157" t="s">
        <v>29</v>
      </c>
    </row>
    <row r="158" spans="1:16" x14ac:dyDescent="0.3">
      <c r="A158" t="s">
        <v>259</v>
      </c>
      <c r="B158">
        <v>45958</v>
      </c>
      <c r="C158" t="s">
        <v>83</v>
      </c>
      <c r="D158" t="s">
        <v>51</v>
      </c>
      <c r="E158" t="s">
        <v>37</v>
      </c>
      <c r="F158">
        <v>242</v>
      </c>
      <c r="G158">
        <v>481.72</v>
      </c>
      <c r="H158">
        <v>45987</v>
      </c>
      <c r="I158">
        <v>45988</v>
      </c>
      <c r="J158" t="s">
        <v>20</v>
      </c>
      <c r="K158" t="s">
        <v>21</v>
      </c>
      <c r="L158" t="s">
        <v>33</v>
      </c>
      <c r="M158">
        <f t="shared" si="4"/>
        <v>116576.24</v>
      </c>
      <c r="N158">
        <f t="shared" si="5"/>
        <v>30</v>
      </c>
      <c r="O158" t="str">
        <f ca="1">IFERROR((G158-_xludf.XLOOKUP(D158,Articles!A:A,Articles!D:D))/_xludf.XLOOKUP(D158,Articles!A:A,Articles!D:D),"")</f>
        <v/>
      </c>
      <c r="P158" t="s">
        <v>29</v>
      </c>
    </row>
    <row r="159" spans="1:16" x14ac:dyDescent="0.3">
      <c r="A159" t="s">
        <v>260</v>
      </c>
      <c r="B159">
        <v>46044</v>
      </c>
      <c r="C159" t="s">
        <v>64</v>
      </c>
      <c r="D159" t="s">
        <v>102</v>
      </c>
      <c r="E159" t="s">
        <v>37</v>
      </c>
      <c r="F159">
        <v>240</v>
      </c>
      <c r="G159">
        <v>325.94</v>
      </c>
      <c r="H159">
        <v>46104</v>
      </c>
      <c r="I159">
        <v>46105</v>
      </c>
      <c r="J159" t="s">
        <v>41</v>
      </c>
      <c r="K159" t="s">
        <v>21</v>
      </c>
      <c r="L159" t="s">
        <v>45</v>
      </c>
      <c r="M159">
        <f t="shared" si="4"/>
        <v>78225.600000000006</v>
      </c>
      <c r="N159">
        <f t="shared" si="5"/>
        <v>61</v>
      </c>
      <c r="O159" t="str">
        <f ca="1">IFERROR((G159-_xludf.XLOOKUP(D159,Articles!A:A,Articles!D:D))/_xludf.XLOOKUP(D159,Articles!A:A,Articles!D:D),"")</f>
        <v/>
      </c>
      <c r="P159" t="s">
        <v>29</v>
      </c>
    </row>
    <row r="160" spans="1:16" x14ac:dyDescent="0.3">
      <c r="A160" t="s">
        <v>261</v>
      </c>
      <c r="B160">
        <v>45975</v>
      </c>
      <c r="C160" t="s">
        <v>158</v>
      </c>
      <c r="D160" t="s">
        <v>148</v>
      </c>
      <c r="E160" t="s">
        <v>37</v>
      </c>
      <c r="F160">
        <v>11</v>
      </c>
      <c r="G160">
        <v>106.27</v>
      </c>
      <c r="H160">
        <v>46004</v>
      </c>
      <c r="I160">
        <v>46006</v>
      </c>
      <c r="J160" t="s">
        <v>62</v>
      </c>
      <c r="K160" t="s">
        <v>21</v>
      </c>
      <c r="L160" t="s">
        <v>28</v>
      </c>
      <c r="M160">
        <f t="shared" si="4"/>
        <v>1168.97</v>
      </c>
      <c r="N160">
        <f t="shared" si="5"/>
        <v>31</v>
      </c>
      <c r="O160" t="str">
        <f ca="1">IFERROR((G160-_xludf.XLOOKUP(D160,Articles!A:A,Articles!D:D))/_xludf.XLOOKUP(D160,Articles!A:A,Articles!D:D),"")</f>
        <v/>
      </c>
      <c r="P160" t="s">
        <v>29</v>
      </c>
    </row>
    <row r="161" spans="1:16" x14ac:dyDescent="0.3">
      <c r="A161" t="s">
        <v>262</v>
      </c>
      <c r="B161">
        <v>45970</v>
      </c>
      <c r="C161" t="s">
        <v>109</v>
      </c>
      <c r="D161" t="s">
        <v>263</v>
      </c>
      <c r="E161" t="s">
        <v>27</v>
      </c>
      <c r="F161">
        <v>239</v>
      </c>
      <c r="G161">
        <v>423.82</v>
      </c>
      <c r="H161">
        <v>46005</v>
      </c>
      <c r="I161">
        <v>46005</v>
      </c>
      <c r="J161" t="s">
        <v>41</v>
      </c>
      <c r="K161" t="s">
        <v>21</v>
      </c>
      <c r="L161" t="s">
        <v>28</v>
      </c>
      <c r="M161">
        <f t="shared" si="4"/>
        <v>101292.98</v>
      </c>
      <c r="N161">
        <f t="shared" si="5"/>
        <v>35</v>
      </c>
      <c r="O161" t="str">
        <f ca="1">IFERROR((G161-_xludf.XLOOKUP(D161,Articles!A:A,Articles!D:D))/_xludf.XLOOKUP(D161,Articles!A:A,Articles!D:D),"")</f>
        <v/>
      </c>
      <c r="P161" t="s">
        <v>29</v>
      </c>
    </row>
    <row r="162" spans="1:16" x14ac:dyDescent="0.3">
      <c r="A162" t="s">
        <v>264</v>
      </c>
      <c r="B162">
        <v>45958</v>
      </c>
      <c r="C162" t="s">
        <v>123</v>
      </c>
      <c r="D162" t="s">
        <v>61</v>
      </c>
      <c r="E162" t="s">
        <v>27</v>
      </c>
      <c r="F162">
        <v>164</v>
      </c>
      <c r="G162">
        <v>185.48</v>
      </c>
      <c r="H162">
        <v>45995</v>
      </c>
      <c r="I162">
        <v>45999</v>
      </c>
      <c r="J162" t="s">
        <v>20</v>
      </c>
      <c r="K162" t="s">
        <v>21</v>
      </c>
      <c r="L162" t="s">
        <v>48</v>
      </c>
      <c r="M162">
        <f t="shared" si="4"/>
        <v>30418.719999999998</v>
      </c>
      <c r="N162">
        <f t="shared" si="5"/>
        <v>41</v>
      </c>
      <c r="O162" t="str">
        <f ca="1">IFERROR((G162-_xludf.XLOOKUP(D162,Articles!A:A,Articles!D:D))/_xludf.XLOOKUP(D162,Articles!A:A,Articles!D:D),"")</f>
        <v/>
      </c>
      <c r="P162" t="s">
        <v>29</v>
      </c>
    </row>
    <row r="163" spans="1:16" x14ac:dyDescent="0.3">
      <c r="A163" t="s">
        <v>265</v>
      </c>
      <c r="B163">
        <v>46005</v>
      </c>
      <c r="C163" t="s">
        <v>87</v>
      </c>
      <c r="D163" t="s">
        <v>51</v>
      </c>
      <c r="E163" t="s">
        <v>19</v>
      </c>
      <c r="F163">
        <v>0</v>
      </c>
      <c r="G163">
        <v>342.3</v>
      </c>
      <c r="H163">
        <v>46037</v>
      </c>
      <c r="I163">
        <v>46044</v>
      </c>
      <c r="J163" t="s">
        <v>20</v>
      </c>
      <c r="K163" t="s">
        <v>21</v>
      </c>
      <c r="L163" t="s">
        <v>33</v>
      </c>
      <c r="M163">
        <f t="shared" si="4"/>
        <v>0</v>
      </c>
      <c r="N163">
        <f t="shared" si="5"/>
        <v>39</v>
      </c>
      <c r="O163" t="str">
        <f ca="1">IFERROR((G163-_xludf.XLOOKUP(D163,Articles!A:A,Articles!D:D))/_xludf.XLOOKUP(D163,Articles!A:A,Articles!D:D),"")</f>
        <v/>
      </c>
      <c r="P163" t="s">
        <v>34</v>
      </c>
    </row>
    <row r="164" spans="1:16" x14ac:dyDescent="0.3">
      <c r="A164" t="s">
        <v>266</v>
      </c>
      <c r="B164">
        <v>46097</v>
      </c>
      <c r="C164" t="s">
        <v>132</v>
      </c>
      <c r="D164" t="s">
        <v>173</v>
      </c>
      <c r="E164" t="s">
        <v>56</v>
      </c>
      <c r="F164">
        <v>23</v>
      </c>
      <c r="G164">
        <v>228.73</v>
      </c>
      <c r="H164">
        <v>46157</v>
      </c>
      <c r="I164">
        <v>46169</v>
      </c>
      <c r="J164" t="s">
        <v>20</v>
      </c>
      <c r="K164" t="s">
        <v>21</v>
      </c>
      <c r="L164" t="s">
        <v>28</v>
      </c>
      <c r="M164">
        <f t="shared" si="4"/>
        <v>5260.79</v>
      </c>
      <c r="N164">
        <f t="shared" si="5"/>
        <v>72</v>
      </c>
      <c r="O164" t="str">
        <f ca="1">IFERROR((G164-_xludf.XLOOKUP(D164,Articles!A:A,Articles!D:D))/_xludf.XLOOKUP(D164,Articles!A:A,Articles!D:D),"")</f>
        <v/>
      </c>
      <c r="P164" t="s">
        <v>34</v>
      </c>
    </row>
    <row r="165" spans="1:16" x14ac:dyDescent="0.3">
      <c r="A165" t="s">
        <v>267</v>
      </c>
      <c r="B165">
        <v>45910</v>
      </c>
      <c r="C165" t="s">
        <v>87</v>
      </c>
      <c r="D165" t="s">
        <v>32</v>
      </c>
      <c r="E165" t="s">
        <v>19</v>
      </c>
      <c r="F165">
        <v>215</v>
      </c>
      <c r="G165">
        <v>240.43</v>
      </c>
      <c r="H165">
        <v>45939</v>
      </c>
      <c r="I165">
        <v>45939</v>
      </c>
      <c r="J165" t="s">
        <v>62</v>
      </c>
      <c r="K165" t="s">
        <v>21</v>
      </c>
      <c r="L165" t="s">
        <v>48</v>
      </c>
      <c r="M165">
        <f t="shared" si="4"/>
        <v>51692.450000000004</v>
      </c>
      <c r="N165">
        <f t="shared" si="5"/>
        <v>29</v>
      </c>
      <c r="O165" t="str">
        <f ca="1">IFERROR((G165-_xludf.XLOOKUP(D165,Articles!A:A,Articles!D:D))/_xludf.XLOOKUP(D165,Articles!A:A,Articles!D:D),"")</f>
        <v/>
      </c>
      <c r="P165" t="s">
        <v>23</v>
      </c>
    </row>
    <row r="166" spans="1:16" x14ac:dyDescent="0.3">
      <c r="A166" t="s">
        <v>268</v>
      </c>
      <c r="B166">
        <v>46046</v>
      </c>
      <c r="C166" t="s">
        <v>83</v>
      </c>
      <c r="D166" t="s">
        <v>65</v>
      </c>
      <c r="E166" t="s">
        <v>37</v>
      </c>
      <c r="F166">
        <v>155</v>
      </c>
      <c r="G166">
        <v>196.56</v>
      </c>
      <c r="H166">
        <v>46058</v>
      </c>
      <c r="J166" t="s">
        <v>20</v>
      </c>
      <c r="K166" t="s">
        <v>21</v>
      </c>
      <c r="L166" t="s">
        <v>28</v>
      </c>
      <c r="M166">
        <f t="shared" si="4"/>
        <v>30466.799999999999</v>
      </c>
      <c r="N166" t="str">
        <f t="shared" si="5"/>
        <v/>
      </c>
      <c r="O166" t="str">
        <f ca="1">IFERROR((G166-_xludf.XLOOKUP(D166,Articles!A:A,Articles!D:D))/_xludf.XLOOKUP(D166,Articles!A:A,Articles!D:D),"")</f>
        <v/>
      </c>
      <c r="P166" t="s">
        <v>29</v>
      </c>
    </row>
    <row r="167" spans="1:16" x14ac:dyDescent="0.3">
      <c r="A167" t="s">
        <v>269</v>
      </c>
      <c r="B167">
        <v>45970</v>
      </c>
      <c r="C167" t="s">
        <v>95</v>
      </c>
      <c r="D167" t="s">
        <v>54</v>
      </c>
      <c r="E167" t="s">
        <v>27</v>
      </c>
      <c r="F167">
        <v>50</v>
      </c>
      <c r="G167">
        <v>279.63</v>
      </c>
      <c r="H167">
        <v>45985</v>
      </c>
      <c r="I167">
        <v>45985</v>
      </c>
      <c r="J167" t="s">
        <v>20</v>
      </c>
      <c r="K167" t="s">
        <v>21</v>
      </c>
      <c r="L167" t="s">
        <v>48</v>
      </c>
      <c r="M167">
        <f t="shared" si="4"/>
        <v>13981.5</v>
      </c>
      <c r="N167">
        <f t="shared" si="5"/>
        <v>15</v>
      </c>
      <c r="O167" t="str">
        <f ca="1">IFERROR((G167-_xludf.XLOOKUP(D167,Articles!A:A,Articles!D:D))/_xludf.XLOOKUP(D167,Articles!A:A,Articles!D:D),"")</f>
        <v/>
      </c>
      <c r="P167" t="s">
        <v>29</v>
      </c>
    </row>
    <row r="168" spans="1:16" x14ac:dyDescent="0.3">
      <c r="A168" t="s">
        <v>270</v>
      </c>
      <c r="B168">
        <v>46046</v>
      </c>
      <c r="C168" t="s">
        <v>83</v>
      </c>
      <c r="D168" t="s">
        <v>130</v>
      </c>
      <c r="E168" t="s">
        <v>56</v>
      </c>
      <c r="F168">
        <v>173</v>
      </c>
      <c r="G168">
        <v>277.73</v>
      </c>
      <c r="H168">
        <v>46071</v>
      </c>
      <c r="I168">
        <v>46075</v>
      </c>
      <c r="J168" t="s">
        <v>62</v>
      </c>
      <c r="K168" t="s">
        <v>21</v>
      </c>
      <c r="L168" t="s">
        <v>45</v>
      </c>
      <c r="M168">
        <f t="shared" si="4"/>
        <v>48047.29</v>
      </c>
      <c r="N168">
        <f t="shared" si="5"/>
        <v>29</v>
      </c>
      <c r="O168" t="str">
        <f ca="1">IFERROR((G168-_xludf.XLOOKUP(D168,Articles!A:A,Articles!D:D))/_xludf.XLOOKUP(D168,Articles!A:A,Articles!D:D),"")</f>
        <v/>
      </c>
      <c r="P168" t="s">
        <v>29</v>
      </c>
    </row>
    <row r="169" spans="1:16" x14ac:dyDescent="0.3">
      <c r="A169" t="s">
        <v>271</v>
      </c>
      <c r="B169">
        <v>45948</v>
      </c>
      <c r="C169" t="s">
        <v>25</v>
      </c>
      <c r="D169" t="s">
        <v>40</v>
      </c>
      <c r="E169" t="s">
        <v>19</v>
      </c>
      <c r="F169">
        <v>36</v>
      </c>
      <c r="G169">
        <v>122.62</v>
      </c>
      <c r="H169">
        <v>45991</v>
      </c>
      <c r="J169" t="s">
        <v>20</v>
      </c>
      <c r="K169" t="s">
        <v>21</v>
      </c>
      <c r="L169" t="s">
        <v>33</v>
      </c>
      <c r="M169">
        <f t="shared" si="4"/>
        <v>4414.32</v>
      </c>
      <c r="N169" t="str">
        <f t="shared" si="5"/>
        <v/>
      </c>
      <c r="O169" t="str">
        <f ca="1">IFERROR((G169-_xludf.XLOOKUP(D169,Articles!A:A,Articles!D:D))/_xludf.XLOOKUP(D169,Articles!A:A,Articles!D:D),"")</f>
        <v/>
      </c>
      <c r="P169" t="s">
        <v>29</v>
      </c>
    </row>
    <row r="170" spans="1:16" x14ac:dyDescent="0.3">
      <c r="A170" t="s">
        <v>272</v>
      </c>
      <c r="B170">
        <v>46086</v>
      </c>
      <c r="C170" t="s">
        <v>75</v>
      </c>
      <c r="D170" t="s">
        <v>121</v>
      </c>
      <c r="E170" t="s">
        <v>56</v>
      </c>
      <c r="F170">
        <v>147</v>
      </c>
      <c r="G170">
        <v>76.92</v>
      </c>
      <c r="H170">
        <v>46137</v>
      </c>
      <c r="I170">
        <v>46139</v>
      </c>
      <c r="J170" t="s">
        <v>20</v>
      </c>
      <c r="K170" t="s">
        <v>21</v>
      </c>
      <c r="L170" t="s">
        <v>45</v>
      </c>
      <c r="M170">
        <f t="shared" si="4"/>
        <v>11307.24</v>
      </c>
      <c r="N170">
        <f t="shared" si="5"/>
        <v>53</v>
      </c>
      <c r="O170" t="str">
        <f ca="1">IFERROR((G170-_xludf.XLOOKUP(D170,Articles!A:A,Articles!D:D))/_xludf.XLOOKUP(D170,Articles!A:A,Articles!D:D),"")</f>
        <v/>
      </c>
      <c r="P170" t="s">
        <v>29</v>
      </c>
    </row>
    <row r="171" spans="1:16" x14ac:dyDescent="0.3">
      <c r="A171" t="s">
        <v>273</v>
      </c>
      <c r="B171">
        <v>46004</v>
      </c>
      <c r="C171" t="s">
        <v>87</v>
      </c>
      <c r="D171" t="s">
        <v>121</v>
      </c>
      <c r="E171" t="s">
        <v>19</v>
      </c>
      <c r="F171">
        <v>176</v>
      </c>
      <c r="G171">
        <v>90.2</v>
      </c>
      <c r="H171">
        <v>46049</v>
      </c>
      <c r="I171">
        <v>46048</v>
      </c>
      <c r="J171" t="s">
        <v>20</v>
      </c>
      <c r="K171" t="s">
        <v>21</v>
      </c>
      <c r="L171" t="s">
        <v>22</v>
      </c>
      <c r="M171">
        <f t="shared" si="4"/>
        <v>15875.2</v>
      </c>
      <c r="N171">
        <f t="shared" si="5"/>
        <v>44</v>
      </c>
      <c r="O171" t="str">
        <f ca="1">IFERROR((G171-_xludf.XLOOKUP(D171,Articles!A:A,Articles!D:D))/_xludf.XLOOKUP(D171,Articles!A:A,Articles!D:D),"")</f>
        <v/>
      </c>
      <c r="P171" t="s">
        <v>23</v>
      </c>
    </row>
    <row r="172" spans="1:16" x14ac:dyDescent="0.3">
      <c r="A172" t="s">
        <v>274</v>
      </c>
      <c r="B172">
        <v>45935</v>
      </c>
      <c r="C172" t="s">
        <v>50</v>
      </c>
      <c r="D172" t="s">
        <v>44</v>
      </c>
      <c r="E172" t="s">
        <v>37</v>
      </c>
      <c r="F172">
        <v>123</v>
      </c>
      <c r="G172">
        <v>91.82</v>
      </c>
      <c r="H172">
        <v>45972</v>
      </c>
      <c r="J172" t="s">
        <v>20</v>
      </c>
      <c r="K172" t="s">
        <v>21</v>
      </c>
      <c r="L172" t="s">
        <v>22</v>
      </c>
      <c r="M172">
        <f t="shared" si="4"/>
        <v>11293.859999999999</v>
      </c>
      <c r="N172" t="str">
        <f t="shared" si="5"/>
        <v/>
      </c>
      <c r="O172" t="str">
        <f ca="1">IFERROR((G172-_xludf.XLOOKUP(D172,Articles!A:A,Articles!D:D))/_xludf.XLOOKUP(D172,Articles!A:A,Articles!D:D),"")</f>
        <v/>
      </c>
      <c r="P172" t="s">
        <v>29</v>
      </c>
    </row>
    <row r="173" spans="1:16" x14ac:dyDescent="0.3">
      <c r="A173" t="s">
        <v>275</v>
      </c>
      <c r="B173">
        <v>46096</v>
      </c>
      <c r="C173" t="s">
        <v>43</v>
      </c>
      <c r="D173" t="s">
        <v>40</v>
      </c>
      <c r="E173" t="s">
        <v>19</v>
      </c>
      <c r="F173">
        <v>64</v>
      </c>
      <c r="G173">
        <v>130.13999999999999</v>
      </c>
      <c r="H173">
        <v>46145</v>
      </c>
      <c r="I173">
        <v>46144</v>
      </c>
      <c r="J173" t="s">
        <v>20</v>
      </c>
      <c r="K173" t="s">
        <v>21</v>
      </c>
      <c r="L173" t="s">
        <v>48</v>
      </c>
      <c r="M173">
        <f t="shared" si="4"/>
        <v>8328.9599999999991</v>
      </c>
      <c r="N173">
        <f t="shared" si="5"/>
        <v>48</v>
      </c>
      <c r="O173" t="str">
        <f ca="1">IFERROR((G173-_xludf.XLOOKUP(D173,Articles!A:A,Articles!D:D))/_xludf.XLOOKUP(D173,Articles!A:A,Articles!D:D),"")</f>
        <v/>
      </c>
      <c r="P173" t="s">
        <v>29</v>
      </c>
    </row>
    <row r="174" spans="1:16" x14ac:dyDescent="0.3">
      <c r="A174" t="s">
        <v>276</v>
      </c>
      <c r="B174">
        <v>45916</v>
      </c>
      <c r="C174" t="s">
        <v>67</v>
      </c>
      <c r="D174" t="s">
        <v>112</v>
      </c>
      <c r="E174" t="s">
        <v>19</v>
      </c>
      <c r="F174">
        <v>213</v>
      </c>
      <c r="G174">
        <v>445.76</v>
      </c>
      <c r="H174">
        <v>45978</v>
      </c>
      <c r="I174">
        <v>45978</v>
      </c>
      <c r="J174" t="s">
        <v>20</v>
      </c>
      <c r="K174" t="s">
        <v>21</v>
      </c>
      <c r="L174" t="s">
        <v>22</v>
      </c>
      <c r="M174">
        <f t="shared" si="4"/>
        <v>94946.880000000005</v>
      </c>
      <c r="N174">
        <f t="shared" si="5"/>
        <v>62</v>
      </c>
      <c r="O174" t="str">
        <f ca="1">IFERROR((G174-_xludf.XLOOKUP(D174,Articles!A:A,Articles!D:D))/_xludf.XLOOKUP(D174,Articles!A:A,Articles!D:D),"")</f>
        <v/>
      </c>
      <c r="P174" t="s">
        <v>29</v>
      </c>
    </row>
    <row r="175" spans="1:16" x14ac:dyDescent="0.3">
      <c r="A175" t="s">
        <v>277</v>
      </c>
      <c r="B175">
        <v>46075</v>
      </c>
      <c r="C175" t="s">
        <v>95</v>
      </c>
      <c r="D175" t="s">
        <v>150</v>
      </c>
      <c r="E175" t="s">
        <v>56</v>
      </c>
      <c r="F175">
        <v>53</v>
      </c>
      <c r="G175">
        <v>136.72999999999999</v>
      </c>
      <c r="H175">
        <v>46123</v>
      </c>
      <c r="I175">
        <v>46122</v>
      </c>
      <c r="J175" t="s">
        <v>62</v>
      </c>
      <c r="K175" t="s">
        <v>21</v>
      </c>
      <c r="L175" t="s">
        <v>45</v>
      </c>
      <c r="M175">
        <f t="shared" si="4"/>
        <v>7246.69</v>
      </c>
      <c r="N175">
        <f t="shared" si="5"/>
        <v>47</v>
      </c>
      <c r="O175" t="str">
        <f ca="1">IFERROR((G175-_xludf.XLOOKUP(D175,Articles!A:A,Articles!D:D))/_xludf.XLOOKUP(D175,Articles!A:A,Articles!D:D),"")</f>
        <v/>
      </c>
      <c r="P175" t="s">
        <v>29</v>
      </c>
    </row>
    <row r="176" spans="1:16" x14ac:dyDescent="0.3">
      <c r="A176" t="s">
        <v>278</v>
      </c>
      <c r="B176">
        <v>46007</v>
      </c>
      <c r="C176" t="s">
        <v>123</v>
      </c>
      <c r="D176" t="s">
        <v>206</v>
      </c>
      <c r="E176" t="s">
        <v>56</v>
      </c>
      <c r="F176">
        <v>117</v>
      </c>
      <c r="G176">
        <v>191.52</v>
      </c>
      <c r="H176">
        <v>46024</v>
      </c>
      <c r="J176" t="s">
        <v>20</v>
      </c>
      <c r="K176" t="s">
        <v>21</v>
      </c>
      <c r="L176" t="s">
        <v>45</v>
      </c>
      <c r="M176">
        <f t="shared" si="4"/>
        <v>22407.84</v>
      </c>
      <c r="N176" t="str">
        <f t="shared" si="5"/>
        <v/>
      </c>
      <c r="O176" t="str">
        <f ca="1">IFERROR((G176-_xludf.XLOOKUP(D176,Articles!A:A,Articles!D:D))/_xludf.XLOOKUP(D176,Articles!A:A,Articles!D:D),"")</f>
        <v/>
      </c>
      <c r="P176" t="s">
        <v>29</v>
      </c>
    </row>
    <row r="177" spans="1:16" x14ac:dyDescent="0.3">
      <c r="A177" t="s">
        <v>279</v>
      </c>
      <c r="B177">
        <v>46091</v>
      </c>
      <c r="C177" t="s">
        <v>25</v>
      </c>
      <c r="D177" t="s">
        <v>239</v>
      </c>
      <c r="E177" t="s">
        <v>56</v>
      </c>
      <c r="F177">
        <v>56</v>
      </c>
      <c r="G177">
        <v>338.65</v>
      </c>
      <c r="H177">
        <v>46144</v>
      </c>
      <c r="I177">
        <v>46148</v>
      </c>
      <c r="J177" t="s">
        <v>20</v>
      </c>
      <c r="K177" t="s">
        <v>21</v>
      </c>
      <c r="L177" t="s">
        <v>48</v>
      </c>
      <c r="M177">
        <f t="shared" si="4"/>
        <v>18964.399999999998</v>
      </c>
      <c r="N177">
        <f t="shared" si="5"/>
        <v>57</v>
      </c>
      <c r="O177" t="str">
        <f ca="1">IFERROR((G177-_xludf.XLOOKUP(D177,Articles!A:A,Articles!D:D))/_xludf.XLOOKUP(D177,Articles!A:A,Articles!D:D),"")</f>
        <v/>
      </c>
      <c r="P177" t="s">
        <v>29</v>
      </c>
    </row>
    <row r="178" spans="1:16" x14ac:dyDescent="0.3">
      <c r="A178" t="s">
        <v>280</v>
      </c>
      <c r="B178">
        <v>45974</v>
      </c>
      <c r="C178" t="s">
        <v>67</v>
      </c>
      <c r="D178" t="s">
        <v>102</v>
      </c>
      <c r="E178" t="s">
        <v>37</v>
      </c>
      <c r="F178">
        <v>105</v>
      </c>
      <c r="G178">
        <v>260.67</v>
      </c>
      <c r="H178">
        <v>46032</v>
      </c>
      <c r="I178">
        <v>46036</v>
      </c>
      <c r="J178" t="s">
        <v>20</v>
      </c>
      <c r="K178" t="s">
        <v>21</v>
      </c>
      <c r="L178" t="s">
        <v>45</v>
      </c>
      <c r="M178">
        <f t="shared" si="4"/>
        <v>27370.350000000002</v>
      </c>
      <c r="N178">
        <f t="shared" si="5"/>
        <v>62</v>
      </c>
      <c r="O178" t="str">
        <f ca="1">IFERROR((G178-_xludf.XLOOKUP(D178,Articles!A:A,Articles!D:D))/_xludf.XLOOKUP(D178,Articles!A:A,Articles!D:D),"")</f>
        <v/>
      </c>
      <c r="P178" t="s">
        <v>34</v>
      </c>
    </row>
    <row r="179" spans="1:16" x14ac:dyDescent="0.3">
      <c r="A179" t="s">
        <v>281</v>
      </c>
      <c r="B179">
        <v>46075</v>
      </c>
      <c r="C179" t="s">
        <v>39</v>
      </c>
      <c r="D179" t="s">
        <v>202</v>
      </c>
      <c r="E179" t="s">
        <v>27</v>
      </c>
      <c r="F179">
        <v>-10</v>
      </c>
      <c r="G179">
        <v>470.03</v>
      </c>
      <c r="H179">
        <v>46090</v>
      </c>
      <c r="I179">
        <v>46090</v>
      </c>
      <c r="J179" t="s">
        <v>20</v>
      </c>
      <c r="K179" t="s">
        <v>21</v>
      </c>
      <c r="L179" t="s">
        <v>22</v>
      </c>
      <c r="M179">
        <f t="shared" si="4"/>
        <v>-4700.2999999999993</v>
      </c>
      <c r="N179">
        <f t="shared" si="5"/>
        <v>15</v>
      </c>
      <c r="O179" t="str">
        <f ca="1">IFERROR((G179-_xludf.XLOOKUP(D179,Articles!A:A,Articles!D:D))/_xludf.XLOOKUP(D179,Articles!A:A,Articles!D:D),"")</f>
        <v/>
      </c>
      <c r="P179" t="s">
        <v>29</v>
      </c>
    </row>
    <row r="180" spans="1:16" x14ac:dyDescent="0.3">
      <c r="A180" t="s">
        <v>282</v>
      </c>
      <c r="B180">
        <v>45933</v>
      </c>
      <c r="C180" t="s">
        <v>123</v>
      </c>
      <c r="D180" t="s">
        <v>93</v>
      </c>
      <c r="E180" t="s">
        <v>37</v>
      </c>
      <c r="F180">
        <v>187</v>
      </c>
      <c r="G180">
        <v>454.4</v>
      </c>
      <c r="H180">
        <v>45951</v>
      </c>
      <c r="I180">
        <v>45948</v>
      </c>
      <c r="J180" t="s">
        <v>52</v>
      </c>
      <c r="K180" t="s">
        <v>21</v>
      </c>
      <c r="L180" t="s">
        <v>22</v>
      </c>
      <c r="M180">
        <f t="shared" si="4"/>
        <v>84972.800000000003</v>
      </c>
      <c r="N180">
        <f t="shared" si="5"/>
        <v>15</v>
      </c>
      <c r="O180" t="str">
        <f ca="1">IFERROR((G180-_xludf.XLOOKUP(D180,Articles!A:A,Articles!D:D))/_xludf.XLOOKUP(D180,Articles!A:A,Articles!D:D),"")</f>
        <v/>
      </c>
      <c r="P180" t="s">
        <v>29</v>
      </c>
    </row>
    <row r="181" spans="1:16" x14ac:dyDescent="0.3">
      <c r="A181" t="s">
        <v>283</v>
      </c>
      <c r="B181">
        <v>45964</v>
      </c>
      <c r="C181" t="s">
        <v>284</v>
      </c>
      <c r="D181" t="s">
        <v>202</v>
      </c>
      <c r="E181" t="s">
        <v>56</v>
      </c>
      <c r="F181">
        <v>118</v>
      </c>
      <c r="G181">
        <v>427.58</v>
      </c>
      <c r="H181">
        <v>45975</v>
      </c>
      <c r="I181">
        <v>45975</v>
      </c>
      <c r="J181" t="s">
        <v>62</v>
      </c>
      <c r="K181" t="s">
        <v>21</v>
      </c>
      <c r="L181" t="s">
        <v>48</v>
      </c>
      <c r="M181">
        <f t="shared" si="4"/>
        <v>50454.439999999995</v>
      </c>
      <c r="N181">
        <f t="shared" si="5"/>
        <v>11</v>
      </c>
      <c r="O181" t="str">
        <f ca="1">IFERROR((G181-_xludf.XLOOKUP(D181,Articles!A:A,Articles!D:D))/_xludf.XLOOKUP(D181,Articles!A:A,Articles!D:D),"")</f>
        <v/>
      </c>
      <c r="P181" t="s">
        <v>29</v>
      </c>
    </row>
    <row r="182" spans="1:16" x14ac:dyDescent="0.3">
      <c r="A182" t="s">
        <v>285</v>
      </c>
      <c r="B182">
        <v>46058</v>
      </c>
      <c r="C182" t="s">
        <v>17</v>
      </c>
      <c r="D182" t="s">
        <v>40</v>
      </c>
      <c r="E182" t="s">
        <v>56</v>
      </c>
      <c r="F182">
        <v>197</v>
      </c>
      <c r="G182">
        <v>139.62</v>
      </c>
      <c r="H182">
        <v>46098</v>
      </c>
      <c r="J182" t="s">
        <v>41</v>
      </c>
      <c r="K182" t="s">
        <v>21</v>
      </c>
      <c r="L182" t="s">
        <v>45</v>
      </c>
      <c r="M182">
        <f t="shared" si="4"/>
        <v>27505.14</v>
      </c>
      <c r="N182" t="str">
        <f t="shared" si="5"/>
        <v/>
      </c>
      <c r="O182" t="str">
        <f ca="1">IFERROR((G182-_xludf.XLOOKUP(D182,Articles!A:A,Articles!D:D))/_xludf.XLOOKUP(D182,Articles!A:A,Articles!D:D),"")</f>
        <v/>
      </c>
      <c r="P182" t="s">
        <v>29</v>
      </c>
    </row>
    <row r="183" spans="1:16" x14ac:dyDescent="0.3">
      <c r="A183" t="s">
        <v>286</v>
      </c>
      <c r="B183">
        <v>45963</v>
      </c>
      <c r="C183" t="s">
        <v>132</v>
      </c>
      <c r="D183" t="s">
        <v>126</v>
      </c>
      <c r="E183" t="s">
        <v>56</v>
      </c>
      <c r="F183">
        <v>190</v>
      </c>
      <c r="G183">
        <v>274.49</v>
      </c>
      <c r="H183">
        <v>45997</v>
      </c>
      <c r="I183">
        <v>45997</v>
      </c>
      <c r="J183" t="s">
        <v>20</v>
      </c>
      <c r="K183" t="s">
        <v>21</v>
      </c>
      <c r="L183" t="s">
        <v>28</v>
      </c>
      <c r="M183">
        <f t="shared" si="4"/>
        <v>52153.1</v>
      </c>
      <c r="N183">
        <f t="shared" si="5"/>
        <v>34</v>
      </c>
      <c r="O183" t="str">
        <f ca="1">IFERROR((G183-_xludf.XLOOKUP(D183,Articles!A:A,Articles!D:D))/_xludf.XLOOKUP(D183,Articles!A:A,Articles!D:D),"")</f>
        <v/>
      </c>
      <c r="P183" t="s">
        <v>23</v>
      </c>
    </row>
    <row r="184" spans="1:16" x14ac:dyDescent="0.3">
      <c r="A184" t="s">
        <v>287</v>
      </c>
      <c r="B184">
        <v>45960</v>
      </c>
      <c r="C184" t="s">
        <v>83</v>
      </c>
      <c r="D184" t="s">
        <v>54</v>
      </c>
      <c r="E184" t="s">
        <v>19</v>
      </c>
      <c r="F184">
        <v>209</v>
      </c>
      <c r="G184">
        <v>366.27</v>
      </c>
      <c r="H184">
        <v>45979</v>
      </c>
      <c r="I184">
        <v>45981</v>
      </c>
      <c r="J184" t="s">
        <v>20</v>
      </c>
      <c r="K184" t="s">
        <v>21</v>
      </c>
      <c r="L184" t="s">
        <v>28</v>
      </c>
      <c r="M184">
        <f t="shared" si="4"/>
        <v>76550.429999999993</v>
      </c>
      <c r="N184">
        <f t="shared" si="5"/>
        <v>21</v>
      </c>
      <c r="O184" t="str">
        <f ca="1">IFERROR((G184-_xludf.XLOOKUP(D184,Articles!A:A,Articles!D:D))/_xludf.XLOOKUP(D184,Articles!A:A,Articles!D:D),"")</f>
        <v/>
      </c>
      <c r="P184" t="s">
        <v>34</v>
      </c>
    </row>
    <row r="185" spans="1:16" x14ac:dyDescent="0.3">
      <c r="A185" t="s">
        <v>288</v>
      </c>
      <c r="B185">
        <v>46070</v>
      </c>
      <c r="C185" t="s">
        <v>158</v>
      </c>
      <c r="D185" t="s">
        <v>121</v>
      </c>
      <c r="E185" t="s">
        <v>27</v>
      </c>
      <c r="F185">
        <v>134</v>
      </c>
      <c r="G185">
        <v>82.59</v>
      </c>
      <c r="H185">
        <v>46115</v>
      </c>
      <c r="I185">
        <v>46134</v>
      </c>
      <c r="J185" t="s">
        <v>41</v>
      </c>
      <c r="K185" t="s">
        <v>21</v>
      </c>
      <c r="L185" t="s">
        <v>45</v>
      </c>
      <c r="M185">
        <f t="shared" si="4"/>
        <v>11067.060000000001</v>
      </c>
      <c r="N185">
        <f t="shared" si="5"/>
        <v>64</v>
      </c>
      <c r="O185" t="str">
        <f ca="1">IFERROR((G185-_xludf.XLOOKUP(D185,Articles!A:A,Articles!D:D))/_xludf.XLOOKUP(D185,Articles!A:A,Articles!D:D),"")</f>
        <v/>
      </c>
      <c r="P185" t="s">
        <v>23</v>
      </c>
    </row>
    <row r="186" spans="1:16" x14ac:dyDescent="0.3">
      <c r="A186" t="s">
        <v>289</v>
      </c>
      <c r="B186">
        <v>45913</v>
      </c>
      <c r="C186" t="s">
        <v>72</v>
      </c>
      <c r="D186" t="s">
        <v>51</v>
      </c>
      <c r="E186" t="s">
        <v>37</v>
      </c>
      <c r="F186">
        <v>249</v>
      </c>
      <c r="G186">
        <v>288.64999999999998</v>
      </c>
      <c r="H186">
        <v>45948</v>
      </c>
      <c r="I186">
        <v>45952</v>
      </c>
      <c r="J186" t="s">
        <v>20</v>
      </c>
      <c r="K186" t="s">
        <v>21</v>
      </c>
      <c r="L186" t="s">
        <v>45</v>
      </c>
      <c r="M186">
        <f t="shared" si="4"/>
        <v>71873.849999999991</v>
      </c>
      <c r="N186">
        <f t="shared" si="5"/>
        <v>39</v>
      </c>
      <c r="O186" t="str">
        <f ca="1">IFERROR((G186-_xludf.XLOOKUP(D186,Articles!A:A,Articles!D:D))/_xludf.XLOOKUP(D186,Articles!A:A,Articles!D:D),"")</f>
        <v/>
      </c>
      <c r="P186" t="s">
        <v>29</v>
      </c>
    </row>
    <row r="187" spans="1:16" x14ac:dyDescent="0.3">
      <c r="A187" t="s">
        <v>290</v>
      </c>
      <c r="B187">
        <v>45997</v>
      </c>
      <c r="C187" t="s">
        <v>83</v>
      </c>
      <c r="D187" t="s">
        <v>59</v>
      </c>
      <c r="E187" t="s">
        <v>27</v>
      </c>
      <c r="F187">
        <v>48</v>
      </c>
      <c r="G187">
        <v>230.79</v>
      </c>
      <c r="H187">
        <v>46053</v>
      </c>
      <c r="I187">
        <v>46053</v>
      </c>
      <c r="J187" t="s">
        <v>62</v>
      </c>
      <c r="K187" t="s">
        <v>21</v>
      </c>
      <c r="L187" t="s">
        <v>45</v>
      </c>
      <c r="M187">
        <f t="shared" si="4"/>
        <v>11077.92</v>
      </c>
      <c r="N187">
        <f t="shared" si="5"/>
        <v>56</v>
      </c>
      <c r="O187" t="str">
        <f ca="1">IFERROR((G187-_xludf.XLOOKUP(D187,Articles!A:A,Articles!D:D))/_xludf.XLOOKUP(D187,Articles!A:A,Articles!D:D),"")</f>
        <v/>
      </c>
      <c r="P187" t="s">
        <v>29</v>
      </c>
    </row>
    <row r="188" spans="1:16" x14ac:dyDescent="0.3">
      <c r="A188" t="s">
        <v>291</v>
      </c>
      <c r="B188">
        <v>46006</v>
      </c>
      <c r="C188" t="s">
        <v>109</v>
      </c>
      <c r="D188" t="s">
        <v>61</v>
      </c>
      <c r="E188" t="s">
        <v>19</v>
      </c>
      <c r="F188">
        <v>248</v>
      </c>
      <c r="G188">
        <v>300.14999999999998</v>
      </c>
      <c r="H188">
        <v>46050</v>
      </c>
      <c r="I188">
        <v>46050</v>
      </c>
      <c r="J188" t="s">
        <v>20</v>
      </c>
      <c r="K188" t="s">
        <v>21</v>
      </c>
      <c r="L188" t="s">
        <v>48</v>
      </c>
      <c r="M188">
        <f t="shared" si="4"/>
        <v>74437.2</v>
      </c>
      <c r="N188">
        <f t="shared" si="5"/>
        <v>44</v>
      </c>
      <c r="O188" t="str">
        <f ca="1">IFERROR((G188-_xludf.XLOOKUP(D188,Articles!A:A,Articles!D:D))/_xludf.XLOOKUP(D188,Articles!A:A,Articles!D:D),"")</f>
        <v/>
      </c>
      <c r="P188" t="s">
        <v>29</v>
      </c>
    </row>
    <row r="189" spans="1:16" x14ac:dyDescent="0.3">
      <c r="A189" t="s">
        <v>292</v>
      </c>
      <c r="B189">
        <v>45924</v>
      </c>
      <c r="C189" t="s">
        <v>64</v>
      </c>
      <c r="D189" t="s">
        <v>150</v>
      </c>
      <c r="E189" t="s">
        <v>56</v>
      </c>
      <c r="F189">
        <v>138</v>
      </c>
      <c r="G189">
        <v>137.03</v>
      </c>
      <c r="H189">
        <v>45968</v>
      </c>
      <c r="J189" t="s">
        <v>20</v>
      </c>
      <c r="K189" t="s">
        <v>21</v>
      </c>
      <c r="L189" t="s">
        <v>48</v>
      </c>
      <c r="M189">
        <f t="shared" si="4"/>
        <v>18910.14</v>
      </c>
      <c r="N189" t="str">
        <f t="shared" si="5"/>
        <v/>
      </c>
      <c r="O189" t="str">
        <f ca="1">IFERROR((G189-_xludf.XLOOKUP(D189,Articles!A:A,Articles!D:D))/_xludf.XLOOKUP(D189,Articles!A:A,Articles!D:D),"")</f>
        <v/>
      </c>
      <c r="P189" t="s">
        <v>29</v>
      </c>
    </row>
    <row r="190" spans="1:16" x14ac:dyDescent="0.3">
      <c r="A190" t="s">
        <v>293</v>
      </c>
      <c r="B190">
        <v>46086</v>
      </c>
      <c r="C190" t="s">
        <v>75</v>
      </c>
      <c r="D190" t="s">
        <v>294</v>
      </c>
      <c r="E190" t="s">
        <v>56</v>
      </c>
      <c r="F190">
        <v>172</v>
      </c>
      <c r="G190">
        <v>423.43</v>
      </c>
      <c r="H190">
        <v>46124</v>
      </c>
      <c r="I190">
        <v>46124</v>
      </c>
      <c r="J190" t="s">
        <v>62</v>
      </c>
      <c r="K190" t="s">
        <v>21</v>
      </c>
      <c r="L190" t="s">
        <v>28</v>
      </c>
      <c r="M190">
        <f t="shared" si="4"/>
        <v>72829.960000000006</v>
      </c>
      <c r="N190">
        <f t="shared" si="5"/>
        <v>38</v>
      </c>
      <c r="O190" t="str">
        <f ca="1">IFERROR((G190-_xludf.XLOOKUP(D190,Articles!A:A,Articles!D:D))/_xludf.XLOOKUP(D190,Articles!A:A,Articles!D:D),"")</f>
        <v/>
      </c>
      <c r="P190" t="s">
        <v>29</v>
      </c>
    </row>
    <row r="191" spans="1:16" x14ac:dyDescent="0.3">
      <c r="A191" t="s">
        <v>295</v>
      </c>
      <c r="B191">
        <v>46092</v>
      </c>
      <c r="C191" t="s">
        <v>25</v>
      </c>
      <c r="D191" t="s">
        <v>294</v>
      </c>
      <c r="E191" t="s">
        <v>19</v>
      </c>
      <c r="F191">
        <v>194</v>
      </c>
      <c r="G191">
        <v>413.45</v>
      </c>
      <c r="H191">
        <v>46126</v>
      </c>
      <c r="J191" t="s">
        <v>20</v>
      </c>
      <c r="K191" t="s">
        <v>21</v>
      </c>
      <c r="L191" t="s">
        <v>33</v>
      </c>
      <c r="M191">
        <f t="shared" si="4"/>
        <v>80209.3</v>
      </c>
      <c r="N191" t="str">
        <f t="shared" si="5"/>
        <v/>
      </c>
      <c r="O191" t="str">
        <f ca="1">IFERROR((G191-_xludf.XLOOKUP(D191,Articles!A:A,Articles!D:D))/_xludf.XLOOKUP(D191,Articles!A:A,Articles!D:D),"")</f>
        <v/>
      </c>
      <c r="P191" t="s">
        <v>29</v>
      </c>
    </row>
    <row r="192" spans="1:16" x14ac:dyDescent="0.3">
      <c r="A192" t="s">
        <v>296</v>
      </c>
      <c r="B192">
        <v>46037</v>
      </c>
      <c r="C192" t="s">
        <v>95</v>
      </c>
      <c r="D192" t="s">
        <v>202</v>
      </c>
      <c r="E192" t="s">
        <v>56</v>
      </c>
      <c r="F192">
        <v>167</v>
      </c>
      <c r="G192">
        <v>429.34</v>
      </c>
      <c r="H192">
        <v>46048</v>
      </c>
      <c r="I192">
        <v>46069</v>
      </c>
      <c r="J192" t="s">
        <v>20</v>
      </c>
      <c r="K192" t="s">
        <v>21</v>
      </c>
      <c r="L192" t="s">
        <v>45</v>
      </c>
      <c r="M192">
        <f t="shared" si="4"/>
        <v>71699.78</v>
      </c>
      <c r="N192">
        <f t="shared" si="5"/>
        <v>32</v>
      </c>
      <c r="O192" t="str">
        <f ca="1">IFERROR((G192-_xludf.XLOOKUP(D192,Articles!A:A,Articles!D:D))/_xludf.XLOOKUP(D192,Articles!A:A,Articles!D:D),"")</f>
        <v/>
      </c>
      <c r="P192" t="s">
        <v>29</v>
      </c>
    </row>
    <row r="193" spans="1:16" x14ac:dyDescent="0.3">
      <c r="A193" t="s">
        <v>297</v>
      </c>
      <c r="B193">
        <v>45995</v>
      </c>
      <c r="C193" t="s">
        <v>298</v>
      </c>
      <c r="D193" t="s">
        <v>26</v>
      </c>
      <c r="E193" t="s">
        <v>37</v>
      </c>
      <c r="F193">
        <v>81</v>
      </c>
      <c r="G193">
        <v>391.14</v>
      </c>
      <c r="H193">
        <v>46022</v>
      </c>
      <c r="I193">
        <v>46022</v>
      </c>
      <c r="J193" t="s">
        <v>20</v>
      </c>
      <c r="K193" t="s">
        <v>21</v>
      </c>
      <c r="L193" t="s">
        <v>33</v>
      </c>
      <c r="M193">
        <f t="shared" si="4"/>
        <v>31682.34</v>
      </c>
      <c r="N193">
        <f t="shared" si="5"/>
        <v>27</v>
      </c>
      <c r="O193" t="str">
        <f ca="1">IFERROR((G193-_xludf.XLOOKUP(D193,Articles!A:A,Articles!D:D))/_xludf.XLOOKUP(D193,Articles!A:A,Articles!D:D),"")</f>
        <v/>
      </c>
      <c r="P193" t="s">
        <v>29</v>
      </c>
    </row>
    <row r="194" spans="1:16" x14ac:dyDescent="0.3">
      <c r="A194" t="s">
        <v>299</v>
      </c>
      <c r="B194">
        <v>45985</v>
      </c>
      <c r="C194" t="s">
        <v>43</v>
      </c>
      <c r="D194" t="s">
        <v>59</v>
      </c>
      <c r="E194" t="s">
        <v>19</v>
      </c>
      <c r="F194">
        <v>59</v>
      </c>
      <c r="G194">
        <v>346.51</v>
      </c>
      <c r="H194">
        <v>46037</v>
      </c>
      <c r="I194">
        <v>46044</v>
      </c>
      <c r="J194" t="s">
        <v>20</v>
      </c>
      <c r="K194" t="s">
        <v>21</v>
      </c>
      <c r="L194" t="s">
        <v>33</v>
      </c>
      <c r="M194">
        <f t="shared" ref="M194:M257" si="6">F194*G194</f>
        <v>20444.09</v>
      </c>
      <c r="N194">
        <f t="shared" ref="N194:N257" si="7">IF(I194="","",I194-B194)</f>
        <v>59</v>
      </c>
      <c r="O194" t="str">
        <f ca="1">IFERROR((G194-_xludf.XLOOKUP(D194,Articles!A:A,Articles!D:D))/_xludf.XLOOKUP(D194,Articles!A:A,Articles!D:D),"")</f>
        <v/>
      </c>
      <c r="P194" t="s">
        <v>23</v>
      </c>
    </row>
    <row r="195" spans="1:16" x14ac:dyDescent="0.3">
      <c r="A195" t="s">
        <v>300</v>
      </c>
      <c r="B195">
        <v>46018</v>
      </c>
      <c r="C195" t="s">
        <v>72</v>
      </c>
      <c r="D195" t="s">
        <v>47</v>
      </c>
      <c r="E195" t="s">
        <v>27</v>
      </c>
      <c r="F195">
        <v>44</v>
      </c>
      <c r="G195">
        <v>70.42</v>
      </c>
      <c r="H195">
        <v>46042</v>
      </c>
      <c r="I195">
        <v>46042</v>
      </c>
      <c r="J195" t="s">
        <v>41</v>
      </c>
      <c r="K195" t="s">
        <v>21</v>
      </c>
      <c r="L195" t="s">
        <v>22</v>
      </c>
      <c r="M195">
        <f t="shared" si="6"/>
        <v>3098.48</v>
      </c>
      <c r="N195">
        <f t="shared" si="7"/>
        <v>24</v>
      </c>
      <c r="O195" t="str">
        <f ca="1">IFERROR((G195-_xludf.XLOOKUP(D195,Articles!A:A,Articles!D:D))/_xludf.XLOOKUP(D195,Articles!A:A,Articles!D:D),"")</f>
        <v/>
      </c>
      <c r="P195" t="s">
        <v>29</v>
      </c>
    </row>
    <row r="196" spans="1:16" x14ac:dyDescent="0.3">
      <c r="A196" t="s">
        <v>301</v>
      </c>
      <c r="B196">
        <v>46035</v>
      </c>
      <c r="C196" t="s">
        <v>132</v>
      </c>
      <c r="D196" t="s">
        <v>222</v>
      </c>
      <c r="E196" t="s">
        <v>27</v>
      </c>
      <c r="F196">
        <v>9</v>
      </c>
      <c r="G196">
        <v>321.18</v>
      </c>
      <c r="H196">
        <v>46064</v>
      </c>
      <c r="I196">
        <v>46061</v>
      </c>
      <c r="J196" t="s">
        <v>20</v>
      </c>
      <c r="K196" t="s">
        <v>21</v>
      </c>
      <c r="L196" t="s">
        <v>48</v>
      </c>
      <c r="M196">
        <f t="shared" si="6"/>
        <v>2890.62</v>
      </c>
      <c r="N196">
        <f t="shared" si="7"/>
        <v>26</v>
      </c>
      <c r="O196" t="str">
        <f ca="1">IFERROR((G196-_xludf.XLOOKUP(D196,Articles!A:A,Articles!D:D))/_xludf.XLOOKUP(D196,Articles!A:A,Articles!D:D),"")</f>
        <v/>
      </c>
      <c r="P196" t="s">
        <v>29</v>
      </c>
    </row>
    <row r="197" spans="1:16" x14ac:dyDescent="0.3">
      <c r="A197" t="s">
        <v>302</v>
      </c>
      <c r="B197">
        <v>45956</v>
      </c>
      <c r="C197" t="s">
        <v>80</v>
      </c>
      <c r="D197" t="s">
        <v>59</v>
      </c>
      <c r="E197" t="s">
        <v>37</v>
      </c>
      <c r="F197">
        <v>130</v>
      </c>
      <c r="G197">
        <v>211.59</v>
      </c>
      <c r="H197">
        <v>46005</v>
      </c>
      <c r="I197">
        <v>46012</v>
      </c>
      <c r="J197" t="s">
        <v>20</v>
      </c>
      <c r="K197" t="s">
        <v>21</v>
      </c>
      <c r="L197" t="s">
        <v>48</v>
      </c>
      <c r="M197">
        <f t="shared" si="6"/>
        <v>27506.7</v>
      </c>
      <c r="N197">
        <f t="shared" si="7"/>
        <v>56</v>
      </c>
      <c r="O197" t="str">
        <f ca="1">IFERROR((G197-_xludf.XLOOKUP(D197,Articles!A:A,Articles!D:D))/_xludf.XLOOKUP(D197,Articles!A:A,Articles!D:D),"")</f>
        <v/>
      </c>
      <c r="P197" t="s">
        <v>29</v>
      </c>
    </row>
    <row r="198" spans="1:16" x14ac:dyDescent="0.3">
      <c r="A198" t="s">
        <v>303</v>
      </c>
      <c r="B198">
        <v>46085</v>
      </c>
      <c r="C198" t="s">
        <v>123</v>
      </c>
      <c r="D198" t="s">
        <v>209</v>
      </c>
      <c r="E198" t="s">
        <v>37</v>
      </c>
      <c r="F198">
        <v>71</v>
      </c>
      <c r="G198">
        <v>253.7</v>
      </c>
      <c r="H198">
        <v>46108</v>
      </c>
      <c r="I198">
        <v>46105</v>
      </c>
      <c r="J198" t="s">
        <v>20</v>
      </c>
      <c r="K198" t="s">
        <v>21</v>
      </c>
      <c r="L198" t="s">
        <v>28</v>
      </c>
      <c r="M198">
        <f t="shared" si="6"/>
        <v>18012.7</v>
      </c>
      <c r="N198">
        <f t="shared" si="7"/>
        <v>20</v>
      </c>
      <c r="O198" t="str">
        <f ca="1">IFERROR((G198-_xludf.XLOOKUP(D198,Articles!A:A,Articles!D:D))/_xludf.XLOOKUP(D198,Articles!A:A,Articles!D:D),"")</f>
        <v/>
      </c>
      <c r="P198" t="s">
        <v>29</v>
      </c>
    </row>
    <row r="199" spans="1:16" x14ac:dyDescent="0.3">
      <c r="A199" t="s">
        <v>304</v>
      </c>
      <c r="B199">
        <v>46035</v>
      </c>
      <c r="C199" t="s">
        <v>25</v>
      </c>
      <c r="D199" t="s">
        <v>145</v>
      </c>
      <c r="E199" t="s">
        <v>37</v>
      </c>
      <c r="F199">
        <v>39</v>
      </c>
      <c r="G199">
        <v>216.98</v>
      </c>
      <c r="H199">
        <v>46064</v>
      </c>
      <c r="I199">
        <v>46086</v>
      </c>
      <c r="J199" t="s">
        <v>20</v>
      </c>
      <c r="K199" t="s">
        <v>21</v>
      </c>
      <c r="L199" t="s">
        <v>48</v>
      </c>
      <c r="M199">
        <f t="shared" si="6"/>
        <v>8462.2199999999993</v>
      </c>
      <c r="N199">
        <f t="shared" si="7"/>
        <v>51</v>
      </c>
      <c r="O199" t="str">
        <f ca="1">IFERROR((G199-_xludf.XLOOKUP(D199,Articles!A:A,Articles!D:D))/_xludf.XLOOKUP(D199,Articles!A:A,Articles!D:D),"")</f>
        <v/>
      </c>
      <c r="P199" t="s">
        <v>29</v>
      </c>
    </row>
    <row r="200" spans="1:16" x14ac:dyDescent="0.3">
      <c r="A200" t="s">
        <v>305</v>
      </c>
      <c r="B200">
        <v>46018</v>
      </c>
      <c r="C200" t="s">
        <v>31</v>
      </c>
      <c r="D200" t="s">
        <v>98</v>
      </c>
      <c r="E200" t="s">
        <v>56</v>
      </c>
      <c r="F200">
        <v>145</v>
      </c>
      <c r="G200">
        <v>314.10000000000002</v>
      </c>
      <c r="H200">
        <v>46028</v>
      </c>
      <c r="I200">
        <v>46029</v>
      </c>
      <c r="J200" t="s">
        <v>20</v>
      </c>
      <c r="K200" t="s">
        <v>21</v>
      </c>
      <c r="L200" t="s">
        <v>48</v>
      </c>
      <c r="M200">
        <f t="shared" si="6"/>
        <v>45544.5</v>
      </c>
      <c r="N200">
        <f t="shared" si="7"/>
        <v>11</v>
      </c>
      <c r="O200" t="str">
        <f ca="1">IFERROR((G200-_xludf.XLOOKUP(D200,Articles!A:A,Articles!D:D))/_xludf.XLOOKUP(D200,Articles!A:A,Articles!D:D),"")</f>
        <v/>
      </c>
      <c r="P200" t="s">
        <v>34</v>
      </c>
    </row>
    <row r="201" spans="1:16" x14ac:dyDescent="0.3">
      <c r="A201" t="s">
        <v>306</v>
      </c>
      <c r="B201">
        <v>45997</v>
      </c>
      <c r="C201" t="s">
        <v>31</v>
      </c>
      <c r="D201" t="s">
        <v>93</v>
      </c>
      <c r="E201" t="s">
        <v>37</v>
      </c>
      <c r="F201">
        <v>142</v>
      </c>
      <c r="G201">
        <v>512.20000000000005</v>
      </c>
      <c r="H201">
        <v>46025</v>
      </c>
      <c r="I201">
        <v>46022</v>
      </c>
      <c r="J201" t="s">
        <v>20</v>
      </c>
      <c r="K201" t="s">
        <v>21</v>
      </c>
      <c r="L201" t="s">
        <v>33</v>
      </c>
      <c r="M201">
        <f t="shared" si="6"/>
        <v>72732.400000000009</v>
      </c>
      <c r="N201">
        <f t="shared" si="7"/>
        <v>25</v>
      </c>
      <c r="O201" t="str">
        <f ca="1">IFERROR((G201-_xludf.XLOOKUP(D201,Articles!A:A,Articles!D:D))/_xludf.XLOOKUP(D201,Articles!A:A,Articles!D:D),"")</f>
        <v/>
      </c>
      <c r="P201" t="s">
        <v>29</v>
      </c>
    </row>
    <row r="202" spans="1:16" x14ac:dyDescent="0.3">
      <c r="A202" t="s">
        <v>307</v>
      </c>
      <c r="B202">
        <v>46036</v>
      </c>
      <c r="C202" t="s">
        <v>25</v>
      </c>
      <c r="D202" t="s">
        <v>112</v>
      </c>
      <c r="E202" t="s">
        <v>19</v>
      </c>
      <c r="F202">
        <v>236</v>
      </c>
      <c r="G202">
        <v>379.17</v>
      </c>
      <c r="H202">
        <v>46093</v>
      </c>
      <c r="I202">
        <v>46114</v>
      </c>
      <c r="J202" t="s">
        <v>20</v>
      </c>
      <c r="K202" t="s">
        <v>21</v>
      </c>
      <c r="L202" t="s">
        <v>22</v>
      </c>
      <c r="M202">
        <f t="shared" si="6"/>
        <v>89484.12000000001</v>
      </c>
      <c r="N202">
        <f t="shared" si="7"/>
        <v>78</v>
      </c>
      <c r="O202" t="str">
        <f ca="1">IFERROR((G202-_xludf.XLOOKUP(D202,Articles!A:A,Articles!D:D))/_xludf.XLOOKUP(D202,Articles!A:A,Articles!D:D),"")</f>
        <v/>
      </c>
      <c r="P202" t="s">
        <v>23</v>
      </c>
    </row>
    <row r="203" spans="1:16" x14ac:dyDescent="0.3">
      <c r="A203" t="s">
        <v>308</v>
      </c>
      <c r="B203">
        <v>45946</v>
      </c>
      <c r="C203" t="s">
        <v>132</v>
      </c>
      <c r="D203" t="s">
        <v>112</v>
      </c>
      <c r="E203" t="s">
        <v>37</v>
      </c>
      <c r="F203">
        <v>238</v>
      </c>
      <c r="G203">
        <v>485.68</v>
      </c>
      <c r="H203">
        <v>46000</v>
      </c>
      <c r="I203">
        <v>46000</v>
      </c>
      <c r="J203" t="s">
        <v>20</v>
      </c>
      <c r="K203" t="s">
        <v>21</v>
      </c>
      <c r="L203" t="s">
        <v>48</v>
      </c>
      <c r="M203">
        <f t="shared" si="6"/>
        <v>115591.84</v>
      </c>
      <c r="N203">
        <f t="shared" si="7"/>
        <v>54</v>
      </c>
      <c r="O203" t="str">
        <f ca="1">IFERROR((G203-_xludf.XLOOKUP(D203,Articles!A:A,Articles!D:D))/_xludf.XLOOKUP(D203,Articles!A:A,Articles!D:D),"")</f>
        <v/>
      </c>
      <c r="P203" t="s">
        <v>34</v>
      </c>
    </row>
    <row r="204" spans="1:16" x14ac:dyDescent="0.3">
      <c r="A204" t="s">
        <v>309</v>
      </c>
      <c r="B204">
        <v>46045</v>
      </c>
      <c r="C204" t="s">
        <v>87</v>
      </c>
      <c r="D204" t="s">
        <v>121</v>
      </c>
      <c r="E204" t="s">
        <v>27</v>
      </c>
      <c r="F204">
        <v>62</v>
      </c>
      <c r="G204">
        <v>91.93</v>
      </c>
      <c r="H204">
        <v>46092</v>
      </c>
      <c r="I204">
        <v>46104</v>
      </c>
      <c r="J204" t="s">
        <v>20</v>
      </c>
      <c r="K204" t="s">
        <v>21</v>
      </c>
      <c r="L204" t="s">
        <v>48</v>
      </c>
      <c r="M204">
        <f t="shared" si="6"/>
        <v>5699.6600000000008</v>
      </c>
      <c r="N204">
        <f t="shared" si="7"/>
        <v>59</v>
      </c>
      <c r="O204" t="str">
        <f ca="1">IFERROR((G204-_xludf.XLOOKUP(D204,Articles!A:A,Articles!D:D))/_xludf.XLOOKUP(D204,Articles!A:A,Articles!D:D),"")</f>
        <v/>
      </c>
      <c r="P204" t="s">
        <v>34</v>
      </c>
    </row>
    <row r="205" spans="1:16" x14ac:dyDescent="0.3">
      <c r="A205" t="s">
        <v>310</v>
      </c>
      <c r="B205">
        <v>45914</v>
      </c>
      <c r="C205" t="s">
        <v>64</v>
      </c>
      <c r="D205" t="s">
        <v>54</v>
      </c>
      <c r="E205" t="s">
        <v>37</v>
      </c>
      <c r="F205">
        <v>26</v>
      </c>
      <c r="G205">
        <v>251.09</v>
      </c>
      <c r="H205">
        <v>45925</v>
      </c>
      <c r="I205">
        <v>45927</v>
      </c>
      <c r="J205" t="s">
        <v>20</v>
      </c>
      <c r="K205" t="s">
        <v>21</v>
      </c>
      <c r="L205" t="s">
        <v>33</v>
      </c>
      <c r="M205">
        <f t="shared" si="6"/>
        <v>6528.34</v>
      </c>
      <c r="N205">
        <f t="shared" si="7"/>
        <v>13</v>
      </c>
      <c r="O205" t="str">
        <f ca="1">IFERROR((G205-_xludf.XLOOKUP(D205,Articles!A:A,Articles!D:D))/_xludf.XLOOKUP(D205,Articles!A:A,Articles!D:D),"")</f>
        <v/>
      </c>
      <c r="P205" t="s">
        <v>29</v>
      </c>
    </row>
    <row r="206" spans="1:16" x14ac:dyDescent="0.3">
      <c r="A206" t="s">
        <v>311</v>
      </c>
      <c r="B206">
        <v>46101</v>
      </c>
      <c r="C206" t="s">
        <v>67</v>
      </c>
      <c r="D206" t="s">
        <v>209</v>
      </c>
      <c r="E206" t="s">
        <v>37</v>
      </c>
      <c r="F206">
        <v>116</v>
      </c>
      <c r="G206">
        <v>250.3</v>
      </c>
      <c r="H206">
        <v>46125</v>
      </c>
      <c r="I206">
        <v>46137</v>
      </c>
      <c r="J206" t="s">
        <v>62</v>
      </c>
      <c r="K206" t="s">
        <v>21</v>
      </c>
      <c r="L206" t="s">
        <v>48</v>
      </c>
      <c r="M206">
        <f t="shared" si="6"/>
        <v>29034.800000000003</v>
      </c>
      <c r="N206">
        <f t="shared" si="7"/>
        <v>36</v>
      </c>
      <c r="O206" t="str">
        <f ca="1">IFERROR((G206-_xludf.XLOOKUP(D206,Articles!A:A,Articles!D:D))/_xludf.XLOOKUP(D206,Articles!A:A,Articles!D:D),"")</f>
        <v/>
      </c>
      <c r="P206" t="s">
        <v>23</v>
      </c>
    </row>
    <row r="207" spans="1:16" x14ac:dyDescent="0.3">
      <c r="A207" t="s">
        <v>312</v>
      </c>
      <c r="B207">
        <v>46105</v>
      </c>
      <c r="C207" t="s">
        <v>83</v>
      </c>
      <c r="D207" t="s">
        <v>212</v>
      </c>
      <c r="E207" t="s">
        <v>27</v>
      </c>
      <c r="F207">
        <v>64</v>
      </c>
      <c r="G207">
        <v>440.43</v>
      </c>
      <c r="H207">
        <v>46131</v>
      </c>
      <c r="I207">
        <v>46137</v>
      </c>
      <c r="J207" t="s">
        <v>41</v>
      </c>
      <c r="K207" t="s">
        <v>21</v>
      </c>
      <c r="L207" t="s">
        <v>45</v>
      </c>
      <c r="M207">
        <f t="shared" si="6"/>
        <v>28187.52</v>
      </c>
      <c r="N207">
        <f t="shared" si="7"/>
        <v>32</v>
      </c>
      <c r="O207" t="str">
        <f ca="1">IFERROR((G207-_xludf.XLOOKUP(D207,Articles!A:A,Articles!D:D))/_xludf.XLOOKUP(D207,Articles!A:A,Articles!D:D),"")</f>
        <v/>
      </c>
      <c r="P207" t="s">
        <v>29</v>
      </c>
    </row>
    <row r="208" spans="1:16" x14ac:dyDescent="0.3">
      <c r="A208" t="s">
        <v>313</v>
      </c>
      <c r="B208">
        <v>45928</v>
      </c>
      <c r="C208" t="s">
        <v>64</v>
      </c>
      <c r="D208" t="s">
        <v>26</v>
      </c>
      <c r="E208" t="s">
        <v>27</v>
      </c>
      <c r="F208">
        <v>24</v>
      </c>
      <c r="G208">
        <v>341.91</v>
      </c>
      <c r="H208">
        <v>45950</v>
      </c>
      <c r="I208">
        <v>45957</v>
      </c>
      <c r="J208" t="s">
        <v>20</v>
      </c>
      <c r="K208" t="s">
        <v>21</v>
      </c>
      <c r="L208" t="s">
        <v>48</v>
      </c>
      <c r="M208">
        <f t="shared" si="6"/>
        <v>8205.84</v>
      </c>
      <c r="N208">
        <f t="shared" si="7"/>
        <v>29</v>
      </c>
      <c r="O208" t="str">
        <f ca="1">IFERROR((G208-_xludf.XLOOKUP(D208,Articles!A:A,Articles!D:D))/_xludf.XLOOKUP(D208,Articles!A:A,Articles!D:D),"")</f>
        <v/>
      </c>
      <c r="P208" t="s">
        <v>23</v>
      </c>
    </row>
    <row r="209" spans="1:16" x14ac:dyDescent="0.3">
      <c r="A209" t="s">
        <v>314</v>
      </c>
      <c r="B209">
        <v>46015</v>
      </c>
      <c r="C209" t="s">
        <v>17</v>
      </c>
      <c r="D209" t="s">
        <v>141</v>
      </c>
      <c r="E209" t="s">
        <v>56</v>
      </c>
      <c r="F209">
        <v>143</v>
      </c>
      <c r="G209">
        <v>209.68</v>
      </c>
      <c r="H209">
        <v>46051</v>
      </c>
      <c r="I209">
        <v>46050</v>
      </c>
      <c r="J209" t="s">
        <v>41</v>
      </c>
      <c r="K209" t="s">
        <v>21</v>
      </c>
      <c r="L209" t="s">
        <v>22</v>
      </c>
      <c r="M209">
        <f t="shared" si="6"/>
        <v>29984.240000000002</v>
      </c>
      <c r="N209">
        <f t="shared" si="7"/>
        <v>35</v>
      </c>
      <c r="O209" t="str">
        <f ca="1">IFERROR((G209-_xludf.XLOOKUP(D209,Articles!A:A,Articles!D:D))/_xludf.XLOOKUP(D209,Articles!A:A,Articles!D:D),"")</f>
        <v/>
      </c>
      <c r="P209" t="s">
        <v>29</v>
      </c>
    </row>
    <row r="210" spans="1:16" x14ac:dyDescent="0.3">
      <c r="A210" t="s">
        <v>315</v>
      </c>
      <c r="B210">
        <v>45999</v>
      </c>
      <c r="C210" t="s">
        <v>85</v>
      </c>
      <c r="D210" t="s">
        <v>126</v>
      </c>
      <c r="E210" t="s">
        <v>27</v>
      </c>
      <c r="F210">
        <v>4</v>
      </c>
      <c r="G210">
        <v>298.10000000000002</v>
      </c>
      <c r="H210">
        <v>46032</v>
      </c>
      <c r="I210">
        <v>46043</v>
      </c>
      <c r="J210" t="s">
        <v>20</v>
      </c>
      <c r="K210" t="s">
        <v>21</v>
      </c>
      <c r="L210" t="s">
        <v>22</v>
      </c>
      <c r="M210">
        <f t="shared" si="6"/>
        <v>1192.4000000000001</v>
      </c>
      <c r="N210">
        <f t="shared" si="7"/>
        <v>44</v>
      </c>
      <c r="O210" t="str">
        <f ca="1">IFERROR((G210-_xludf.XLOOKUP(D210,Articles!A:A,Articles!D:D))/_xludf.XLOOKUP(D210,Articles!A:A,Articles!D:D),"")</f>
        <v/>
      </c>
      <c r="P210" t="s">
        <v>29</v>
      </c>
    </row>
    <row r="211" spans="1:16" x14ac:dyDescent="0.3">
      <c r="A211" t="s">
        <v>316</v>
      </c>
      <c r="B211">
        <v>46076</v>
      </c>
      <c r="C211" t="s">
        <v>87</v>
      </c>
      <c r="D211" t="s">
        <v>317</v>
      </c>
      <c r="E211" t="s">
        <v>27</v>
      </c>
      <c r="F211">
        <v>98</v>
      </c>
      <c r="G211">
        <v>154.22</v>
      </c>
      <c r="H211">
        <v>46118</v>
      </c>
      <c r="I211">
        <v>46119</v>
      </c>
      <c r="J211" t="s">
        <v>20</v>
      </c>
      <c r="K211" t="s">
        <v>21</v>
      </c>
      <c r="L211" t="s">
        <v>45</v>
      </c>
      <c r="M211">
        <f t="shared" si="6"/>
        <v>15113.56</v>
      </c>
      <c r="N211">
        <f t="shared" si="7"/>
        <v>43</v>
      </c>
      <c r="O211" t="str">
        <f ca="1">IFERROR((G211-_xludf.XLOOKUP(D211,Articles!A:A,Articles!D:D))/_xludf.XLOOKUP(D211,Articles!A:A,Articles!D:D),"")</f>
        <v/>
      </c>
      <c r="P211" t="s">
        <v>29</v>
      </c>
    </row>
    <row r="212" spans="1:16" x14ac:dyDescent="0.3">
      <c r="A212" t="s">
        <v>318</v>
      </c>
      <c r="B212">
        <v>45977</v>
      </c>
      <c r="C212" t="s">
        <v>17</v>
      </c>
      <c r="D212" t="s">
        <v>128</v>
      </c>
      <c r="E212" t="s">
        <v>37</v>
      </c>
      <c r="F212">
        <v>124</v>
      </c>
      <c r="G212">
        <v>634.27</v>
      </c>
      <c r="H212">
        <v>46022</v>
      </c>
      <c r="I212">
        <v>46023</v>
      </c>
      <c r="J212" t="s">
        <v>62</v>
      </c>
      <c r="K212" t="s">
        <v>21</v>
      </c>
      <c r="L212" t="s">
        <v>22</v>
      </c>
      <c r="M212">
        <f t="shared" si="6"/>
        <v>78649.48</v>
      </c>
      <c r="N212">
        <f t="shared" si="7"/>
        <v>46</v>
      </c>
      <c r="O212" t="str">
        <f ca="1">IFERROR((G212-_xludf.XLOOKUP(D212,Articles!A:A,Articles!D:D))/_xludf.XLOOKUP(D212,Articles!A:A,Articles!D:D),"")</f>
        <v/>
      </c>
      <c r="P212" t="s">
        <v>29</v>
      </c>
    </row>
    <row r="213" spans="1:16" x14ac:dyDescent="0.3">
      <c r="A213" t="s">
        <v>319</v>
      </c>
      <c r="B213">
        <v>46018</v>
      </c>
      <c r="C213" t="s">
        <v>43</v>
      </c>
      <c r="D213" t="s">
        <v>212</v>
      </c>
      <c r="E213" t="s">
        <v>19</v>
      </c>
      <c r="F213">
        <v>28</v>
      </c>
      <c r="G213">
        <v>368.69</v>
      </c>
      <c r="H213">
        <v>46043</v>
      </c>
      <c r="I213">
        <v>46047</v>
      </c>
      <c r="J213" t="s">
        <v>20</v>
      </c>
      <c r="K213" t="s">
        <v>21</v>
      </c>
      <c r="L213" t="s">
        <v>45</v>
      </c>
      <c r="M213">
        <f t="shared" si="6"/>
        <v>10323.32</v>
      </c>
      <c r="N213">
        <f t="shared" si="7"/>
        <v>29</v>
      </c>
      <c r="O213" t="str">
        <f ca="1">IFERROR((G213-_xludf.XLOOKUP(D213,Articles!A:A,Articles!D:D))/_xludf.XLOOKUP(D213,Articles!A:A,Articles!D:D),"")</f>
        <v/>
      </c>
      <c r="P213" t="s">
        <v>29</v>
      </c>
    </row>
    <row r="214" spans="1:16" x14ac:dyDescent="0.3">
      <c r="A214" t="s">
        <v>320</v>
      </c>
      <c r="B214">
        <v>46109</v>
      </c>
      <c r="C214" t="s">
        <v>17</v>
      </c>
      <c r="D214" t="s">
        <v>321</v>
      </c>
      <c r="E214" t="s">
        <v>27</v>
      </c>
      <c r="F214">
        <v>211</v>
      </c>
      <c r="G214">
        <v>285.64</v>
      </c>
      <c r="H214">
        <v>46141</v>
      </c>
      <c r="I214">
        <v>46141</v>
      </c>
      <c r="J214" t="s">
        <v>20</v>
      </c>
      <c r="K214" t="s">
        <v>21</v>
      </c>
      <c r="L214" t="s">
        <v>45</v>
      </c>
      <c r="M214">
        <f t="shared" si="6"/>
        <v>60270.039999999994</v>
      </c>
      <c r="N214">
        <f t="shared" si="7"/>
        <v>32</v>
      </c>
      <c r="O214" t="str">
        <f ca="1">IFERROR((G214-_xludf.XLOOKUP(D214,Articles!A:A,Articles!D:D))/_xludf.XLOOKUP(D214,Articles!A:A,Articles!D:D),"")</f>
        <v/>
      </c>
      <c r="P214" t="s">
        <v>29</v>
      </c>
    </row>
    <row r="215" spans="1:16" x14ac:dyDescent="0.3">
      <c r="A215" t="s">
        <v>322</v>
      </c>
      <c r="B215">
        <v>46002</v>
      </c>
      <c r="C215" t="s">
        <v>87</v>
      </c>
      <c r="D215" t="s">
        <v>26</v>
      </c>
      <c r="E215" t="s">
        <v>19</v>
      </c>
      <c r="F215">
        <v>248</v>
      </c>
      <c r="G215">
        <v>379.72</v>
      </c>
      <c r="H215">
        <v>46030</v>
      </c>
      <c r="I215">
        <v>46037</v>
      </c>
      <c r="J215" t="s">
        <v>52</v>
      </c>
      <c r="K215" t="s">
        <v>21</v>
      </c>
      <c r="L215" t="s">
        <v>45</v>
      </c>
      <c r="M215">
        <f t="shared" si="6"/>
        <v>94170.560000000012</v>
      </c>
      <c r="N215">
        <f t="shared" si="7"/>
        <v>35</v>
      </c>
      <c r="O215" t="str">
        <f ca="1">IFERROR((G215-_xludf.XLOOKUP(D215,Articles!A:A,Articles!D:D))/_xludf.XLOOKUP(D215,Articles!A:A,Articles!D:D),"")</f>
        <v/>
      </c>
      <c r="P215" t="s">
        <v>34</v>
      </c>
    </row>
    <row r="216" spans="1:16" x14ac:dyDescent="0.3">
      <c r="A216" t="s">
        <v>323</v>
      </c>
      <c r="B216">
        <v>45994</v>
      </c>
      <c r="C216" t="s">
        <v>31</v>
      </c>
      <c r="D216" t="s">
        <v>128</v>
      </c>
      <c r="E216" t="s">
        <v>56</v>
      </c>
      <c r="F216">
        <v>30</v>
      </c>
      <c r="G216">
        <v>492.71</v>
      </c>
      <c r="H216">
        <v>46037</v>
      </c>
      <c r="I216">
        <v>46049</v>
      </c>
      <c r="J216" t="s">
        <v>41</v>
      </c>
      <c r="K216" t="s">
        <v>21</v>
      </c>
      <c r="L216" t="s">
        <v>45</v>
      </c>
      <c r="M216">
        <f t="shared" si="6"/>
        <v>14781.3</v>
      </c>
      <c r="N216">
        <f t="shared" si="7"/>
        <v>55</v>
      </c>
      <c r="O216" t="str">
        <f ca="1">IFERROR((G216-_xludf.XLOOKUP(D216,Articles!A:A,Articles!D:D))/_xludf.XLOOKUP(D216,Articles!A:A,Articles!D:D),"")</f>
        <v/>
      </c>
      <c r="P216" t="s">
        <v>34</v>
      </c>
    </row>
    <row r="217" spans="1:16" x14ac:dyDescent="0.3">
      <c r="A217" t="s">
        <v>324</v>
      </c>
      <c r="B217">
        <v>46105</v>
      </c>
      <c r="C217" t="s">
        <v>95</v>
      </c>
      <c r="D217" t="s">
        <v>36</v>
      </c>
      <c r="E217" t="s">
        <v>19</v>
      </c>
      <c r="F217">
        <v>75</v>
      </c>
      <c r="G217">
        <v>415.04</v>
      </c>
      <c r="H217">
        <v>46114</v>
      </c>
      <c r="I217">
        <v>46129</v>
      </c>
      <c r="J217" t="s">
        <v>20</v>
      </c>
      <c r="K217" t="s">
        <v>21</v>
      </c>
      <c r="L217" t="s">
        <v>28</v>
      </c>
      <c r="M217">
        <f t="shared" si="6"/>
        <v>31128</v>
      </c>
      <c r="N217">
        <f t="shared" si="7"/>
        <v>24</v>
      </c>
      <c r="O217" t="str">
        <f ca="1">IFERROR((G217-_xludf.XLOOKUP(D217,Articles!A:A,Articles!D:D))/_xludf.XLOOKUP(D217,Articles!A:A,Articles!D:D),"")</f>
        <v/>
      </c>
      <c r="P217" t="s">
        <v>29</v>
      </c>
    </row>
    <row r="218" spans="1:16" x14ac:dyDescent="0.3">
      <c r="A218" t="s">
        <v>325</v>
      </c>
      <c r="B218">
        <v>46084</v>
      </c>
      <c r="C218" t="s">
        <v>158</v>
      </c>
      <c r="D218" t="s">
        <v>239</v>
      </c>
      <c r="E218" t="s">
        <v>37</v>
      </c>
      <c r="F218">
        <v>109</v>
      </c>
      <c r="G218">
        <v>359.57</v>
      </c>
      <c r="H218">
        <v>46138</v>
      </c>
      <c r="I218">
        <v>46145</v>
      </c>
      <c r="J218" t="s">
        <v>52</v>
      </c>
      <c r="K218" t="s">
        <v>21</v>
      </c>
      <c r="L218" t="s">
        <v>22</v>
      </c>
      <c r="M218">
        <f t="shared" si="6"/>
        <v>39193.129999999997</v>
      </c>
      <c r="N218">
        <f t="shared" si="7"/>
        <v>61</v>
      </c>
      <c r="O218" t="str">
        <f ca="1">IFERROR((G218-_xludf.XLOOKUP(D218,Articles!A:A,Articles!D:D))/_xludf.XLOOKUP(D218,Articles!A:A,Articles!D:D),"")</f>
        <v/>
      </c>
      <c r="P218" t="s">
        <v>29</v>
      </c>
    </row>
    <row r="219" spans="1:16" x14ac:dyDescent="0.3">
      <c r="A219" t="s">
        <v>326</v>
      </c>
      <c r="B219">
        <v>46040</v>
      </c>
      <c r="C219" t="s">
        <v>17</v>
      </c>
      <c r="D219" t="s">
        <v>54</v>
      </c>
      <c r="E219" t="s">
        <v>56</v>
      </c>
      <c r="F219">
        <v>10</v>
      </c>
      <c r="G219">
        <v>278.24</v>
      </c>
      <c r="H219">
        <v>46055</v>
      </c>
      <c r="I219">
        <v>46067</v>
      </c>
      <c r="J219" t="s">
        <v>20</v>
      </c>
      <c r="K219" t="s">
        <v>21</v>
      </c>
      <c r="L219" t="s">
        <v>28</v>
      </c>
      <c r="M219">
        <f t="shared" si="6"/>
        <v>2782.4</v>
      </c>
      <c r="N219">
        <f t="shared" si="7"/>
        <v>27</v>
      </c>
      <c r="O219" t="str">
        <f ca="1">IFERROR((G219-_xludf.XLOOKUP(D219,Articles!A:A,Articles!D:D))/_xludf.XLOOKUP(D219,Articles!A:A,Articles!D:D),"")</f>
        <v/>
      </c>
      <c r="P219" t="s">
        <v>23</v>
      </c>
    </row>
    <row r="220" spans="1:16" x14ac:dyDescent="0.3">
      <c r="A220" t="s">
        <v>327</v>
      </c>
      <c r="B220">
        <v>45943</v>
      </c>
      <c r="C220" t="s">
        <v>64</v>
      </c>
      <c r="D220" t="s">
        <v>40</v>
      </c>
      <c r="E220" t="s">
        <v>37</v>
      </c>
      <c r="F220">
        <v>166</v>
      </c>
      <c r="G220">
        <v>127.63</v>
      </c>
      <c r="H220">
        <v>45992</v>
      </c>
      <c r="I220">
        <v>45996</v>
      </c>
      <c r="J220" t="s">
        <v>52</v>
      </c>
      <c r="K220" t="s">
        <v>21</v>
      </c>
      <c r="L220" t="s">
        <v>48</v>
      </c>
      <c r="M220">
        <f t="shared" si="6"/>
        <v>21186.579999999998</v>
      </c>
      <c r="N220">
        <f t="shared" si="7"/>
        <v>53</v>
      </c>
      <c r="O220" t="str">
        <f ca="1">IFERROR((G220-_xludf.XLOOKUP(D220,Articles!A:A,Articles!D:D))/_xludf.XLOOKUP(D220,Articles!A:A,Articles!D:D),"")</f>
        <v/>
      </c>
      <c r="P220" t="s">
        <v>29</v>
      </c>
    </row>
    <row r="221" spans="1:16" x14ac:dyDescent="0.3">
      <c r="A221" t="s">
        <v>328</v>
      </c>
      <c r="B221">
        <v>45967</v>
      </c>
      <c r="C221" t="s">
        <v>25</v>
      </c>
      <c r="D221" t="s">
        <v>65</v>
      </c>
      <c r="E221" t="s">
        <v>37</v>
      </c>
      <c r="F221">
        <v>57</v>
      </c>
      <c r="G221">
        <v>361.99</v>
      </c>
      <c r="H221">
        <v>45982</v>
      </c>
      <c r="I221">
        <v>45994</v>
      </c>
      <c r="J221" t="s">
        <v>20</v>
      </c>
      <c r="K221" t="s">
        <v>21</v>
      </c>
      <c r="L221" t="s">
        <v>33</v>
      </c>
      <c r="M221">
        <f t="shared" si="6"/>
        <v>20633.43</v>
      </c>
      <c r="N221">
        <f t="shared" si="7"/>
        <v>27</v>
      </c>
      <c r="O221" t="str">
        <f ca="1">IFERROR((G221-_xludf.XLOOKUP(D221,Articles!A:A,Articles!D:D))/_xludf.XLOOKUP(D221,Articles!A:A,Articles!D:D),"")</f>
        <v/>
      </c>
      <c r="P221" t="s">
        <v>29</v>
      </c>
    </row>
    <row r="222" spans="1:16" x14ac:dyDescent="0.3">
      <c r="A222" t="s">
        <v>329</v>
      </c>
      <c r="B222">
        <v>46098</v>
      </c>
      <c r="C222" t="s">
        <v>330</v>
      </c>
      <c r="D222" t="s">
        <v>93</v>
      </c>
      <c r="E222" t="s">
        <v>56</v>
      </c>
      <c r="F222">
        <v>174</v>
      </c>
      <c r="G222">
        <v>407.9</v>
      </c>
      <c r="H222">
        <v>46124</v>
      </c>
      <c r="I222">
        <v>46124</v>
      </c>
      <c r="J222" t="s">
        <v>20</v>
      </c>
      <c r="K222" t="s">
        <v>21</v>
      </c>
      <c r="L222" t="s">
        <v>33</v>
      </c>
      <c r="M222">
        <f t="shared" si="6"/>
        <v>70974.599999999991</v>
      </c>
      <c r="N222">
        <f t="shared" si="7"/>
        <v>26</v>
      </c>
      <c r="O222" t="str">
        <f ca="1">IFERROR((G222-_xludf.XLOOKUP(D222,Articles!A:A,Articles!D:D))/_xludf.XLOOKUP(D222,Articles!A:A,Articles!D:D),"")</f>
        <v/>
      </c>
      <c r="P222" t="s">
        <v>29</v>
      </c>
    </row>
    <row r="223" spans="1:16" x14ac:dyDescent="0.3">
      <c r="A223" t="s">
        <v>331</v>
      </c>
      <c r="B223">
        <v>45930</v>
      </c>
      <c r="C223" t="s">
        <v>39</v>
      </c>
      <c r="D223" t="s">
        <v>32</v>
      </c>
      <c r="E223" t="s">
        <v>27</v>
      </c>
      <c r="F223">
        <v>213</v>
      </c>
      <c r="G223">
        <v>280.89999999999998</v>
      </c>
      <c r="H223">
        <v>45954</v>
      </c>
      <c r="I223">
        <v>45976</v>
      </c>
      <c r="J223" t="s">
        <v>20</v>
      </c>
      <c r="K223" t="s">
        <v>21</v>
      </c>
      <c r="L223" t="s">
        <v>22</v>
      </c>
      <c r="M223">
        <f t="shared" si="6"/>
        <v>59831.7</v>
      </c>
      <c r="N223">
        <f t="shared" si="7"/>
        <v>46</v>
      </c>
      <c r="O223" t="str">
        <f ca="1">IFERROR((G223-_xludf.XLOOKUP(D223,Articles!A:A,Articles!D:D))/_xludf.XLOOKUP(D223,Articles!A:A,Articles!D:D),"")</f>
        <v/>
      </c>
      <c r="P223" t="s">
        <v>29</v>
      </c>
    </row>
    <row r="224" spans="1:16" x14ac:dyDescent="0.3">
      <c r="A224" t="s">
        <v>332</v>
      </c>
      <c r="B224">
        <v>46022</v>
      </c>
      <c r="C224" t="s">
        <v>95</v>
      </c>
      <c r="D224" t="s">
        <v>102</v>
      </c>
      <c r="E224" t="s">
        <v>56</v>
      </c>
      <c r="F224">
        <v>25</v>
      </c>
      <c r="G224">
        <v>283</v>
      </c>
      <c r="H224">
        <v>46085</v>
      </c>
      <c r="I224">
        <v>46087</v>
      </c>
      <c r="J224" t="s">
        <v>41</v>
      </c>
      <c r="K224" t="s">
        <v>21</v>
      </c>
      <c r="L224" t="s">
        <v>48</v>
      </c>
      <c r="M224">
        <f t="shared" si="6"/>
        <v>7075</v>
      </c>
      <c r="N224">
        <f t="shared" si="7"/>
        <v>65</v>
      </c>
      <c r="O224" t="str">
        <f ca="1">IFERROR((G224-_xludf.XLOOKUP(D224,Articles!A:A,Articles!D:D))/_xludf.XLOOKUP(D224,Articles!A:A,Articles!D:D),"")</f>
        <v/>
      </c>
      <c r="P224" t="s">
        <v>29</v>
      </c>
    </row>
    <row r="225" spans="1:16" x14ac:dyDescent="0.3">
      <c r="A225" t="s">
        <v>333</v>
      </c>
      <c r="B225">
        <v>46074</v>
      </c>
      <c r="C225" t="s">
        <v>25</v>
      </c>
      <c r="D225" t="s">
        <v>130</v>
      </c>
      <c r="E225" t="s">
        <v>37</v>
      </c>
      <c r="F225">
        <v>205</v>
      </c>
      <c r="G225">
        <v>231.87</v>
      </c>
      <c r="H225">
        <v>46100</v>
      </c>
      <c r="I225">
        <v>46117</v>
      </c>
      <c r="J225" t="s">
        <v>41</v>
      </c>
      <c r="K225" t="s">
        <v>21</v>
      </c>
      <c r="L225" t="s">
        <v>45</v>
      </c>
      <c r="M225">
        <f t="shared" si="6"/>
        <v>47533.35</v>
      </c>
      <c r="N225">
        <f t="shared" si="7"/>
        <v>43</v>
      </c>
      <c r="O225" t="str">
        <f ca="1">IFERROR((G225-_xludf.XLOOKUP(D225,Articles!A:A,Articles!D:D))/_xludf.XLOOKUP(D225,Articles!A:A,Articles!D:D),"")</f>
        <v/>
      </c>
      <c r="P225" t="s">
        <v>29</v>
      </c>
    </row>
    <row r="226" spans="1:16" x14ac:dyDescent="0.3">
      <c r="A226" t="s">
        <v>334</v>
      </c>
      <c r="B226">
        <v>46062</v>
      </c>
      <c r="C226" t="s">
        <v>31</v>
      </c>
      <c r="D226" t="s">
        <v>44</v>
      </c>
      <c r="E226" t="s">
        <v>27</v>
      </c>
      <c r="F226">
        <v>48</v>
      </c>
      <c r="G226">
        <v>92.84</v>
      </c>
      <c r="H226">
        <v>46100</v>
      </c>
      <c r="I226">
        <v>46104</v>
      </c>
      <c r="J226" t="s">
        <v>20</v>
      </c>
      <c r="K226" t="s">
        <v>21</v>
      </c>
      <c r="L226" t="s">
        <v>45</v>
      </c>
      <c r="M226">
        <f t="shared" si="6"/>
        <v>4456.32</v>
      </c>
      <c r="N226">
        <f t="shared" si="7"/>
        <v>42</v>
      </c>
      <c r="O226" t="str">
        <f ca="1">IFERROR((G226-_xludf.XLOOKUP(D226,Articles!A:A,Articles!D:D))/_xludf.XLOOKUP(D226,Articles!A:A,Articles!D:D),"")</f>
        <v/>
      </c>
      <c r="P226" t="s">
        <v>29</v>
      </c>
    </row>
    <row r="227" spans="1:16" x14ac:dyDescent="0.3">
      <c r="A227" t="s">
        <v>335</v>
      </c>
      <c r="B227">
        <v>46000</v>
      </c>
      <c r="C227" t="s">
        <v>17</v>
      </c>
      <c r="D227" t="s">
        <v>81</v>
      </c>
      <c r="E227" t="s">
        <v>56</v>
      </c>
      <c r="F227">
        <v>2</v>
      </c>
      <c r="G227">
        <v>442.21</v>
      </c>
      <c r="H227">
        <v>46056</v>
      </c>
      <c r="I227">
        <v>46057</v>
      </c>
      <c r="J227" t="s">
        <v>20</v>
      </c>
      <c r="K227" t="s">
        <v>21</v>
      </c>
      <c r="L227" t="s">
        <v>22</v>
      </c>
      <c r="M227">
        <f t="shared" si="6"/>
        <v>884.42</v>
      </c>
      <c r="N227">
        <f t="shared" si="7"/>
        <v>57</v>
      </c>
      <c r="O227" t="str">
        <f ca="1">IFERROR((G227-_xludf.XLOOKUP(D227,Articles!A:A,Articles!D:D))/_xludf.XLOOKUP(D227,Articles!A:A,Articles!D:D),"")</f>
        <v/>
      </c>
      <c r="P227" t="s">
        <v>34</v>
      </c>
    </row>
    <row r="228" spans="1:16" x14ac:dyDescent="0.3">
      <c r="A228" t="s">
        <v>336</v>
      </c>
      <c r="B228">
        <v>45948</v>
      </c>
      <c r="C228" t="s">
        <v>109</v>
      </c>
      <c r="D228" t="s">
        <v>145</v>
      </c>
      <c r="E228" t="s">
        <v>19</v>
      </c>
      <c r="F228">
        <v>94</v>
      </c>
      <c r="G228">
        <v>222.98</v>
      </c>
      <c r="H228">
        <v>45975</v>
      </c>
      <c r="I228">
        <v>45974</v>
      </c>
      <c r="J228" t="s">
        <v>20</v>
      </c>
      <c r="K228" t="s">
        <v>21</v>
      </c>
      <c r="L228" t="s">
        <v>22</v>
      </c>
      <c r="M228">
        <f t="shared" si="6"/>
        <v>20960.12</v>
      </c>
      <c r="N228">
        <f t="shared" si="7"/>
        <v>26</v>
      </c>
      <c r="O228" t="str">
        <f ca="1">IFERROR((G228-_xludf.XLOOKUP(D228,Articles!A:A,Articles!D:D))/_xludf.XLOOKUP(D228,Articles!A:A,Articles!D:D),"")</f>
        <v/>
      </c>
      <c r="P228" t="s">
        <v>34</v>
      </c>
    </row>
    <row r="229" spans="1:16" x14ac:dyDescent="0.3">
      <c r="A229" t="s">
        <v>337</v>
      </c>
      <c r="B229">
        <v>46001</v>
      </c>
      <c r="C229" t="s">
        <v>114</v>
      </c>
      <c r="D229" t="s">
        <v>202</v>
      </c>
      <c r="E229" t="s">
        <v>19</v>
      </c>
      <c r="F229">
        <v>-5</v>
      </c>
      <c r="G229">
        <v>396.39</v>
      </c>
      <c r="H229">
        <v>46013</v>
      </c>
      <c r="I229">
        <v>46020</v>
      </c>
      <c r="J229" t="s">
        <v>20</v>
      </c>
      <c r="K229" t="s">
        <v>21</v>
      </c>
      <c r="L229" t="s">
        <v>22</v>
      </c>
      <c r="M229">
        <f t="shared" si="6"/>
        <v>-1981.9499999999998</v>
      </c>
      <c r="N229">
        <f t="shared" si="7"/>
        <v>19</v>
      </c>
      <c r="O229" t="str">
        <f ca="1">IFERROR((G229-_xludf.XLOOKUP(D229,Articles!A:A,Articles!D:D))/_xludf.XLOOKUP(D229,Articles!A:A,Articles!D:D),"")</f>
        <v/>
      </c>
      <c r="P229" t="s">
        <v>34</v>
      </c>
    </row>
    <row r="230" spans="1:16" x14ac:dyDescent="0.3">
      <c r="A230" t="s">
        <v>338</v>
      </c>
      <c r="B230">
        <v>46073</v>
      </c>
      <c r="C230" t="s">
        <v>39</v>
      </c>
      <c r="D230" t="s">
        <v>81</v>
      </c>
      <c r="E230" t="s">
        <v>27</v>
      </c>
      <c r="F230">
        <v>35</v>
      </c>
      <c r="G230">
        <v>393.27</v>
      </c>
      <c r="H230">
        <v>46129</v>
      </c>
      <c r="I230">
        <v>46130</v>
      </c>
      <c r="J230" t="s">
        <v>41</v>
      </c>
      <c r="K230" t="s">
        <v>21</v>
      </c>
      <c r="L230" t="s">
        <v>22</v>
      </c>
      <c r="M230">
        <f t="shared" si="6"/>
        <v>13764.449999999999</v>
      </c>
      <c r="N230">
        <f t="shared" si="7"/>
        <v>57</v>
      </c>
      <c r="O230" t="str">
        <f ca="1">IFERROR((G230-_xludf.XLOOKUP(D230,Articles!A:A,Articles!D:D))/_xludf.XLOOKUP(D230,Articles!A:A,Articles!D:D),"")</f>
        <v/>
      </c>
      <c r="P230" t="s">
        <v>29</v>
      </c>
    </row>
    <row r="231" spans="1:16" x14ac:dyDescent="0.3">
      <c r="A231" t="s">
        <v>339</v>
      </c>
      <c r="B231">
        <v>46053</v>
      </c>
      <c r="C231" t="s">
        <v>17</v>
      </c>
      <c r="D231" t="s">
        <v>202</v>
      </c>
      <c r="E231" t="s">
        <v>27</v>
      </c>
      <c r="F231">
        <v>36</v>
      </c>
      <c r="G231">
        <v>458.33</v>
      </c>
      <c r="H231">
        <v>46066</v>
      </c>
      <c r="I231">
        <v>46079</v>
      </c>
      <c r="J231" t="s">
        <v>20</v>
      </c>
      <c r="K231" t="s">
        <v>21</v>
      </c>
      <c r="L231" t="s">
        <v>22</v>
      </c>
      <c r="M231">
        <f t="shared" si="6"/>
        <v>16499.88</v>
      </c>
      <c r="N231">
        <f t="shared" si="7"/>
        <v>26</v>
      </c>
      <c r="O231" t="str">
        <f ca="1">IFERROR((G231-_xludf.XLOOKUP(D231,Articles!A:A,Articles!D:D))/_xludf.XLOOKUP(D231,Articles!A:A,Articles!D:D),"")</f>
        <v/>
      </c>
      <c r="P231" t="s">
        <v>29</v>
      </c>
    </row>
    <row r="232" spans="1:16" x14ac:dyDescent="0.3">
      <c r="A232" t="s">
        <v>340</v>
      </c>
      <c r="B232">
        <v>45974</v>
      </c>
      <c r="C232" t="s">
        <v>72</v>
      </c>
      <c r="D232" t="s">
        <v>186</v>
      </c>
      <c r="E232" t="s">
        <v>37</v>
      </c>
      <c r="F232">
        <v>36</v>
      </c>
      <c r="G232">
        <v>143.13999999999999</v>
      </c>
      <c r="H232">
        <v>46039</v>
      </c>
      <c r="I232">
        <v>46036</v>
      </c>
      <c r="J232" t="s">
        <v>62</v>
      </c>
      <c r="K232" t="s">
        <v>21</v>
      </c>
      <c r="L232" t="s">
        <v>28</v>
      </c>
      <c r="M232">
        <f t="shared" si="6"/>
        <v>5153.0399999999991</v>
      </c>
      <c r="N232">
        <f t="shared" si="7"/>
        <v>62</v>
      </c>
      <c r="O232" t="str">
        <f ca="1">IFERROR((G232-_xludf.XLOOKUP(D232,Articles!A:A,Articles!D:D))/_xludf.XLOOKUP(D232,Articles!A:A,Articles!D:D),"")</f>
        <v/>
      </c>
      <c r="P232" t="s">
        <v>23</v>
      </c>
    </row>
    <row r="233" spans="1:16" x14ac:dyDescent="0.3">
      <c r="A233" t="s">
        <v>341</v>
      </c>
      <c r="B233">
        <v>46044</v>
      </c>
      <c r="C233" t="s">
        <v>31</v>
      </c>
      <c r="D233" t="s">
        <v>294</v>
      </c>
      <c r="E233" t="s">
        <v>37</v>
      </c>
      <c r="F233">
        <v>130</v>
      </c>
      <c r="G233">
        <v>435.19</v>
      </c>
      <c r="H233">
        <v>46081</v>
      </c>
      <c r="I233">
        <v>46088</v>
      </c>
      <c r="J233" t="s">
        <v>20</v>
      </c>
      <c r="K233" t="s">
        <v>21</v>
      </c>
      <c r="L233" t="s">
        <v>28</v>
      </c>
      <c r="M233">
        <f t="shared" si="6"/>
        <v>56574.7</v>
      </c>
      <c r="N233">
        <f t="shared" si="7"/>
        <v>44</v>
      </c>
      <c r="O233" t="str">
        <f ca="1">IFERROR((G233-_xludf.XLOOKUP(D233,Articles!A:A,Articles!D:D))/_xludf.XLOOKUP(D233,Articles!A:A,Articles!D:D),"")</f>
        <v/>
      </c>
      <c r="P233" t="s">
        <v>34</v>
      </c>
    </row>
    <row r="234" spans="1:16" x14ac:dyDescent="0.3">
      <c r="A234" t="s">
        <v>342</v>
      </c>
      <c r="B234">
        <v>45908</v>
      </c>
      <c r="C234" t="s">
        <v>75</v>
      </c>
      <c r="D234" t="s">
        <v>73</v>
      </c>
      <c r="E234" t="s">
        <v>27</v>
      </c>
      <c r="F234">
        <v>204</v>
      </c>
      <c r="G234">
        <v>309.42</v>
      </c>
      <c r="H234">
        <v>45929</v>
      </c>
      <c r="I234">
        <v>45926</v>
      </c>
      <c r="J234" t="s">
        <v>20</v>
      </c>
      <c r="K234" t="s">
        <v>21</v>
      </c>
      <c r="L234" t="s">
        <v>45</v>
      </c>
      <c r="M234">
        <f t="shared" si="6"/>
        <v>63121.68</v>
      </c>
      <c r="N234">
        <f t="shared" si="7"/>
        <v>18</v>
      </c>
      <c r="O234" t="str">
        <f ca="1">IFERROR((G234-_xludf.XLOOKUP(D234,Articles!A:A,Articles!D:D))/_xludf.XLOOKUP(D234,Articles!A:A,Articles!D:D),"")</f>
        <v/>
      </c>
      <c r="P234" t="s">
        <v>29</v>
      </c>
    </row>
    <row r="235" spans="1:16" x14ac:dyDescent="0.3">
      <c r="A235" t="s">
        <v>343</v>
      </c>
      <c r="B235">
        <v>46041</v>
      </c>
      <c r="C235" t="s">
        <v>72</v>
      </c>
      <c r="D235" t="s">
        <v>112</v>
      </c>
      <c r="E235" t="s">
        <v>19</v>
      </c>
      <c r="F235">
        <v>131</v>
      </c>
      <c r="G235">
        <v>388.48</v>
      </c>
      <c r="H235">
        <v>46096</v>
      </c>
      <c r="I235">
        <v>46097</v>
      </c>
      <c r="J235" t="s">
        <v>20</v>
      </c>
      <c r="K235" t="s">
        <v>21</v>
      </c>
      <c r="L235" t="s">
        <v>22</v>
      </c>
      <c r="M235">
        <f t="shared" si="6"/>
        <v>50890.880000000005</v>
      </c>
      <c r="N235">
        <f t="shared" si="7"/>
        <v>56</v>
      </c>
      <c r="O235" t="str">
        <f ca="1">IFERROR((G235-_xludf.XLOOKUP(D235,Articles!A:A,Articles!D:D))/_xludf.XLOOKUP(D235,Articles!A:A,Articles!D:D),"")</f>
        <v/>
      </c>
      <c r="P235" t="s">
        <v>34</v>
      </c>
    </row>
    <row r="236" spans="1:16" x14ac:dyDescent="0.3">
      <c r="A236" t="s">
        <v>344</v>
      </c>
      <c r="B236">
        <v>46040</v>
      </c>
      <c r="C236" t="s">
        <v>95</v>
      </c>
      <c r="D236" t="s">
        <v>18</v>
      </c>
      <c r="E236" t="s">
        <v>37</v>
      </c>
      <c r="F236">
        <v>56</v>
      </c>
      <c r="G236">
        <v>358.9</v>
      </c>
      <c r="H236">
        <v>46089</v>
      </c>
      <c r="I236">
        <v>46089</v>
      </c>
      <c r="J236" t="s">
        <v>20</v>
      </c>
      <c r="K236" t="s">
        <v>21</v>
      </c>
      <c r="L236" t="s">
        <v>33</v>
      </c>
      <c r="M236">
        <f t="shared" si="6"/>
        <v>20098.399999999998</v>
      </c>
      <c r="N236">
        <f t="shared" si="7"/>
        <v>49</v>
      </c>
      <c r="O236" t="str">
        <f ca="1">IFERROR((G236-_xludf.XLOOKUP(D236,Articles!A:A,Articles!D:D))/_xludf.XLOOKUP(D236,Articles!A:A,Articles!D:D),"")</f>
        <v/>
      </c>
      <c r="P236" t="s">
        <v>23</v>
      </c>
    </row>
    <row r="237" spans="1:16" x14ac:dyDescent="0.3">
      <c r="A237" t="s">
        <v>345</v>
      </c>
      <c r="B237">
        <v>46013</v>
      </c>
      <c r="C237" t="s">
        <v>39</v>
      </c>
      <c r="D237" t="s">
        <v>148</v>
      </c>
      <c r="E237" t="s">
        <v>19</v>
      </c>
      <c r="F237">
        <v>222</v>
      </c>
      <c r="G237">
        <v>168.04</v>
      </c>
      <c r="H237">
        <v>46044</v>
      </c>
      <c r="I237">
        <v>46044</v>
      </c>
      <c r="J237" t="s">
        <v>62</v>
      </c>
      <c r="K237" t="s">
        <v>21</v>
      </c>
      <c r="L237" t="s">
        <v>22</v>
      </c>
      <c r="M237">
        <f t="shared" si="6"/>
        <v>37304.879999999997</v>
      </c>
      <c r="N237">
        <f t="shared" si="7"/>
        <v>31</v>
      </c>
      <c r="O237" t="str">
        <f ca="1">IFERROR((G237-_xludf.XLOOKUP(D237,Articles!A:A,Articles!D:D))/_xludf.XLOOKUP(D237,Articles!A:A,Articles!D:D),"")</f>
        <v/>
      </c>
      <c r="P237" t="s">
        <v>29</v>
      </c>
    </row>
    <row r="238" spans="1:16" x14ac:dyDescent="0.3">
      <c r="A238" t="s">
        <v>346</v>
      </c>
      <c r="B238">
        <v>45943</v>
      </c>
      <c r="C238" t="s">
        <v>17</v>
      </c>
      <c r="D238" t="s">
        <v>100</v>
      </c>
      <c r="E238" t="s">
        <v>19</v>
      </c>
      <c r="F238">
        <v>158</v>
      </c>
      <c r="G238">
        <v>83.26</v>
      </c>
      <c r="H238">
        <v>45970</v>
      </c>
      <c r="I238">
        <v>45970</v>
      </c>
      <c r="J238" t="s">
        <v>62</v>
      </c>
      <c r="K238" t="s">
        <v>21</v>
      </c>
      <c r="L238" t="s">
        <v>22</v>
      </c>
      <c r="M238">
        <f t="shared" si="6"/>
        <v>13155.08</v>
      </c>
      <c r="N238">
        <f t="shared" si="7"/>
        <v>27</v>
      </c>
      <c r="O238" t="str">
        <f ca="1">IFERROR((G238-_xludf.XLOOKUP(D238,Articles!A:A,Articles!D:D))/_xludf.XLOOKUP(D238,Articles!A:A,Articles!D:D),"")</f>
        <v/>
      </c>
      <c r="P238" t="s">
        <v>29</v>
      </c>
    </row>
    <row r="239" spans="1:16" x14ac:dyDescent="0.3">
      <c r="A239" t="s">
        <v>347</v>
      </c>
      <c r="B239">
        <v>45983</v>
      </c>
      <c r="C239" t="s">
        <v>87</v>
      </c>
      <c r="D239" t="s">
        <v>69</v>
      </c>
      <c r="E239" t="s">
        <v>56</v>
      </c>
      <c r="F239">
        <v>181</v>
      </c>
      <c r="G239">
        <v>158.66</v>
      </c>
      <c r="H239">
        <v>46045</v>
      </c>
      <c r="I239">
        <v>46046</v>
      </c>
      <c r="J239" t="s">
        <v>52</v>
      </c>
      <c r="K239" t="s">
        <v>21</v>
      </c>
      <c r="L239" t="s">
        <v>28</v>
      </c>
      <c r="M239">
        <f t="shared" si="6"/>
        <v>28717.46</v>
      </c>
      <c r="N239">
        <f t="shared" si="7"/>
        <v>63</v>
      </c>
      <c r="O239" t="str">
        <f ca="1">IFERROR((G239-_xludf.XLOOKUP(D239,Articles!A:A,Articles!D:D))/_xludf.XLOOKUP(D239,Articles!A:A,Articles!D:D),"")</f>
        <v/>
      </c>
      <c r="P239" t="s">
        <v>29</v>
      </c>
    </row>
    <row r="240" spans="1:16" x14ac:dyDescent="0.3">
      <c r="A240" t="s">
        <v>348</v>
      </c>
      <c r="B240">
        <v>45971</v>
      </c>
      <c r="C240" t="s">
        <v>132</v>
      </c>
      <c r="D240" t="s">
        <v>32</v>
      </c>
      <c r="E240" t="s">
        <v>27</v>
      </c>
      <c r="F240">
        <v>222</v>
      </c>
      <c r="G240">
        <v>259.7</v>
      </c>
      <c r="H240">
        <v>45995</v>
      </c>
      <c r="J240" t="s">
        <v>41</v>
      </c>
      <c r="K240" t="s">
        <v>21</v>
      </c>
      <c r="L240" t="s">
        <v>45</v>
      </c>
      <c r="M240">
        <f t="shared" si="6"/>
        <v>57653.399999999994</v>
      </c>
      <c r="N240" t="str">
        <f t="shared" si="7"/>
        <v/>
      </c>
      <c r="O240" t="str">
        <f ca="1">IFERROR((G240-_xludf.XLOOKUP(D240,Articles!A:A,Articles!D:D))/_xludf.XLOOKUP(D240,Articles!A:A,Articles!D:D),"")</f>
        <v/>
      </c>
      <c r="P240" t="s">
        <v>29</v>
      </c>
    </row>
    <row r="241" spans="1:16" x14ac:dyDescent="0.3">
      <c r="A241" t="s">
        <v>349</v>
      </c>
      <c r="B241">
        <v>46048</v>
      </c>
      <c r="C241" t="s">
        <v>25</v>
      </c>
      <c r="D241" t="s">
        <v>47</v>
      </c>
      <c r="E241" t="s">
        <v>56</v>
      </c>
      <c r="F241">
        <v>162</v>
      </c>
      <c r="G241">
        <v>61.25</v>
      </c>
      <c r="H241">
        <v>46073</v>
      </c>
      <c r="I241">
        <v>46077</v>
      </c>
      <c r="J241" t="s">
        <v>20</v>
      </c>
      <c r="K241" t="s">
        <v>21</v>
      </c>
      <c r="L241" t="s">
        <v>45</v>
      </c>
      <c r="M241">
        <f t="shared" si="6"/>
        <v>9922.5</v>
      </c>
      <c r="N241">
        <f t="shared" si="7"/>
        <v>29</v>
      </c>
      <c r="O241" t="str">
        <f ca="1">IFERROR((G241-_xludf.XLOOKUP(D241,Articles!A:A,Articles!D:D))/_xludf.XLOOKUP(D241,Articles!A:A,Articles!D:D),"")</f>
        <v/>
      </c>
      <c r="P241" t="s">
        <v>29</v>
      </c>
    </row>
    <row r="242" spans="1:16" x14ac:dyDescent="0.3">
      <c r="A242" t="s">
        <v>350</v>
      </c>
      <c r="B242">
        <v>46078</v>
      </c>
      <c r="C242" t="s">
        <v>67</v>
      </c>
      <c r="D242" t="s">
        <v>54</v>
      </c>
      <c r="E242" t="s">
        <v>56</v>
      </c>
      <c r="F242">
        <v>-10</v>
      </c>
      <c r="G242">
        <v>284.89</v>
      </c>
      <c r="H242">
        <v>46095</v>
      </c>
      <c r="I242">
        <v>46102</v>
      </c>
      <c r="J242" t="s">
        <v>20</v>
      </c>
      <c r="K242" t="s">
        <v>21</v>
      </c>
      <c r="L242" t="s">
        <v>45</v>
      </c>
      <c r="M242">
        <f t="shared" si="6"/>
        <v>-2848.8999999999996</v>
      </c>
      <c r="N242">
        <f t="shared" si="7"/>
        <v>24</v>
      </c>
      <c r="O242" t="str">
        <f ca="1">IFERROR((G242-_xludf.XLOOKUP(D242,Articles!A:A,Articles!D:D))/_xludf.XLOOKUP(D242,Articles!A:A,Articles!D:D),"")</f>
        <v/>
      </c>
      <c r="P242" t="s">
        <v>29</v>
      </c>
    </row>
    <row r="243" spans="1:16" x14ac:dyDescent="0.3">
      <c r="A243" t="s">
        <v>351</v>
      </c>
      <c r="B243">
        <v>46118</v>
      </c>
      <c r="C243" t="s">
        <v>64</v>
      </c>
      <c r="D243" t="s">
        <v>100</v>
      </c>
      <c r="E243" t="s">
        <v>37</v>
      </c>
      <c r="F243">
        <v>17</v>
      </c>
      <c r="G243">
        <v>101.64</v>
      </c>
      <c r="H243">
        <v>46148</v>
      </c>
      <c r="I243">
        <v>46148</v>
      </c>
      <c r="J243" t="s">
        <v>52</v>
      </c>
      <c r="K243" t="s">
        <v>21</v>
      </c>
      <c r="L243" t="s">
        <v>33</v>
      </c>
      <c r="M243">
        <f t="shared" si="6"/>
        <v>1727.88</v>
      </c>
      <c r="N243">
        <f t="shared" si="7"/>
        <v>30</v>
      </c>
      <c r="O243" t="str">
        <f ca="1">IFERROR((G243-_xludf.XLOOKUP(D243,Articles!A:A,Articles!D:D))/_xludf.XLOOKUP(D243,Articles!A:A,Articles!D:D),"")</f>
        <v/>
      </c>
      <c r="P243" t="s">
        <v>34</v>
      </c>
    </row>
    <row r="244" spans="1:16" x14ac:dyDescent="0.3">
      <c r="A244" t="s">
        <v>352</v>
      </c>
      <c r="B244">
        <v>45987</v>
      </c>
      <c r="C244" t="s">
        <v>83</v>
      </c>
      <c r="D244" t="s">
        <v>26</v>
      </c>
      <c r="E244" t="s">
        <v>56</v>
      </c>
      <c r="F244">
        <v>141</v>
      </c>
      <c r="G244">
        <v>410.9</v>
      </c>
      <c r="H244">
        <v>46014</v>
      </c>
      <c r="I244">
        <v>46038</v>
      </c>
      <c r="J244" t="s">
        <v>20</v>
      </c>
      <c r="K244" t="s">
        <v>21</v>
      </c>
      <c r="L244" t="s">
        <v>48</v>
      </c>
      <c r="M244">
        <f t="shared" si="6"/>
        <v>57936.899999999994</v>
      </c>
      <c r="N244">
        <f t="shared" si="7"/>
        <v>51</v>
      </c>
      <c r="O244" t="str">
        <f ca="1">IFERROR((G244-_xludf.XLOOKUP(D244,Articles!A:A,Articles!D:D))/_xludf.XLOOKUP(D244,Articles!A:A,Articles!D:D),"")</f>
        <v/>
      </c>
      <c r="P244" t="s">
        <v>34</v>
      </c>
    </row>
    <row r="245" spans="1:16" x14ac:dyDescent="0.3">
      <c r="A245" t="s">
        <v>353</v>
      </c>
      <c r="B245">
        <v>45905</v>
      </c>
      <c r="C245" t="s">
        <v>95</v>
      </c>
      <c r="D245" t="s">
        <v>145</v>
      </c>
      <c r="E245" t="s">
        <v>37</v>
      </c>
      <c r="F245">
        <v>32</v>
      </c>
      <c r="G245">
        <v>265.57</v>
      </c>
      <c r="H245">
        <v>45927</v>
      </c>
      <c r="I245">
        <v>45934</v>
      </c>
      <c r="J245" t="s">
        <v>20</v>
      </c>
      <c r="K245" t="s">
        <v>21</v>
      </c>
      <c r="L245" t="s">
        <v>28</v>
      </c>
      <c r="M245">
        <f t="shared" si="6"/>
        <v>8498.24</v>
      </c>
      <c r="N245">
        <f t="shared" si="7"/>
        <v>29</v>
      </c>
      <c r="O245" t="str">
        <f ca="1">IFERROR((G245-_xludf.XLOOKUP(D245,Articles!A:A,Articles!D:D))/_xludf.XLOOKUP(D245,Articles!A:A,Articles!D:D),"")</f>
        <v/>
      </c>
      <c r="P245" t="s">
        <v>23</v>
      </c>
    </row>
    <row r="246" spans="1:16" x14ac:dyDescent="0.3">
      <c r="A246" t="s">
        <v>354</v>
      </c>
      <c r="B246">
        <v>46067</v>
      </c>
      <c r="C246" t="s">
        <v>158</v>
      </c>
      <c r="D246" t="s">
        <v>78</v>
      </c>
      <c r="E246" t="s">
        <v>19</v>
      </c>
      <c r="F246">
        <v>78</v>
      </c>
      <c r="G246">
        <v>84.11</v>
      </c>
      <c r="H246">
        <v>46110</v>
      </c>
      <c r="I246">
        <v>46109</v>
      </c>
      <c r="J246" t="s">
        <v>20</v>
      </c>
      <c r="K246" t="s">
        <v>21</v>
      </c>
      <c r="L246" t="s">
        <v>28</v>
      </c>
      <c r="M246">
        <f t="shared" si="6"/>
        <v>6560.58</v>
      </c>
      <c r="N246">
        <f t="shared" si="7"/>
        <v>42</v>
      </c>
      <c r="O246" t="str">
        <f ca="1">IFERROR((G246-_xludf.XLOOKUP(D246,Articles!A:A,Articles!D:D))/_xludf.XLOOKUP(D246,Articles!A:A,Articles!D:D),"")</f>
        <v/>
      </c>
      <c r="P246" t="s">
        <v>29</v>
      </c>
    </row>
    <row r="247" spans="1:16" x14ac:dyDescent="0.3">
      <c r="A247" t="s">
        <v>355</v>
      </c>
      <c r="B247">
        <v>46061</v>
      </c>
      <c r="C247" t="s">
        <v>31</v>
      </c>
      <c r="D247" t="s">
        <v>356</v>
      </c>
      <c r="E247" t="s">
        <v>56</v>
      </c>
      <c r="F247">
        <v>79</v>
      </c>
      <c r="G247">
        <v>215.31</v>
      </c>
      <c r="H247">
        <v>46100</v>
      </c>
      <c r="I247">
        <v>46104</v>
      </c>
      <c r="J247" t="s">
        <v>20</v>
      </c>
      <c r="K247" t="s">
        <v>21</v>
      </c>
      <c r="L247" t="s">
        <v>28</v>
      </c>
      <c r="M247">
        <f t="shared" si="6"/>
        <v>17009.490000000002</v>
      </c>
      <c r="N247">
        <f t="shared" si="7"/>
        <v>43</v>
      </c>
      <c r="O247" t="str">
        <f ca="1">IFERROR((G247-_xludf.XLOOKUP(D247,Articles!A:A,Articles!D:D))/_xludf.XLOOKUP(D247,Articles!A:A,Articles!D:D),"")</f>
        <v/>
      </c>
      <c r="P247" t="s">
        <v>29</v>
      </c>
    </row>
    <row r="248" spans="1:16" x14ac:dyDescent="0.3">
      <c r="A248" t="s">
        <v>357</v>
      </c>
      <c r="B248">
        <v>45934</v>
      </c>
      <c r="C248" t="s">
        <v>39</v>
      </c>
      <c r="D248" t="s">
        <v>102</v>
      </c>
      <c r="E248" t="s">
        <v>56</v>
      </c>
      <c r="F248">
        <v>152</v>
      </c>
      <c r="G248">
        <v>429.19</v>
      </c>
      <c r="H248">
        <v>46000</v>
      </c>
      <c r="I248">
        <v>46007</v>
      </c>
      <c r="J248" t="s">
        <v>41</v>
      </c>
      <c r="K248" t="s">
        <v>21</v>
      </c>
      <c r="L248" t="s">
        <v>45</v>
      </c>
      <c r="M248">
        <f t="shared" si="6"/>
        <v>65236.88</v>
      </c>
      <c r="N248">
        <f t="shared" si="7"/>
        <v>73</v>
      </c>
      <c r="O248" t="str">
        <f ca="1">IFERROR((G248-_xludf.XLOOKUP(D248,Articles!A:A,Articles!D:D))/_xludf.XLOOKUP(D248,Articles!A:A,Articles!D:D),"")</f>
        <v/>
      </c>
      <c r="P248" t="s">
        <v>29</v>
      </c>
    </row>
    <row r="249" spans="1:16" x14ac:dyDescent="0.3">
      <c r="A249" t="s">
        <v>358</v>
      </c>
      <c r="B249">
        <v>46023</v>
      </c>
      <c r="C249" t="s">
        <v>158</v>
      </c>
      <c r="D249" t="s">
        <v>78</v>
      </c>
      <c r="E249" t="s">
        <v>19</v>
      </c>
      <c r="F249">
        <v>19</v>
      </c>
      <c r="G249">
        <v>54.31</v>
      </c>
      <c r="H249">
        <v>46063</v>
      </c>
      <c r="I249">
        <v>46062</v>
      </c>
      <c r="J249" t="s">
        <v>41</v>
      </c>
      <c r="K249" t="s">
        <v>21</v>
      </c>
      <c r="L249" t="s">
        <v>28</v>
      </c>
      <c r="M249">
        <f t="shared" si="6"/>
        <v>1031.8900000000001</v>
      </c>
      <c r="N249">
        <f t="shared" si="7"/>
        <v>39</v>
      </c>
      <c r="O249" t="str">
        <f ca="1">IFERROR((G249-_xludf.XLOOKUP(D249,Articles!A:A,Articles!D:D))/_xludf.XLOOKUP(D249,Articles!A:A,Articles!D:D),"")</f>
        <v/>
      </c>
      <c r="P249" t="s">
        <v>29</v>
      </c>
    </row>
    <row r="250" spans="1:16" x14ac:dyDescent="0.3">
      <c r="A250" t="s">
        <v>359</v>
      </c>
      <c r="B250">
        <v>46065</v>
      </c>
      <c r="C250" t="s">
        <v>67</v>
      </c>
      <c r="D250" t="s">
        <v>202</v>
      </c>
      <c r="E250" t="s">
        <v>19</v>
      </c>
      <c r="F250">
        <v>174</v>
      </c>
      <c r="G250">
        <v>400.24</v>
      </c>
      <c r="H250">
        <v>46080</v>
      </c>
      <c r="I250">
        <v>46077</v>
      </c>
      <c r="J250" t="s">
        <v>20</v>
      </c>
      <c r="K250" t="s">
        <v>21</v>
      </c>
      <c r="L250" t="s">
        <v>28</v>
      </c>
      <c r="M250">
        <f t="shared" si="6"/>
        <v>69641.759999999995</v>
      </c>
      <c r="N250">
        <f t="shared" si="7"/>
        <v>12</v>
      </c>
      <c r="O250" t="str">
        <f ca="1">IFERROR((G250-_xludf.XLOOKUP(D250,Articles!A:A,Articles!D:D))/_xludf.XLOOKUP(D250,Articles!A:A,Articles!D:D),"")</f>
        <v/>
      </c>
      <c r="P250" t="s">
        <v>29</v>
      </c>
    </row>
    <row r="251" spans="1:16" x14ac:dyDescent="0.3">
      <c r="A251" t="s">
        <v>360</v>
      </c>
      <c r="B251">
        <v>46006</v>
      </c>
      <c r="C251" t="s">
        <v>158</v>
      </c>
      <c r="D251" t="s">
        <v>100</v>
      </c>
      <c r="E251" t="s">
        <v>56</v>
      </c>
      <c r="F251">
        <v>158</v>
      </c>
      <c r="G251">
        <v>150.35</v>
      </c>
      <c r="H251">
        <v>46033</v>
      </c>
      <c r="I251">
        <v>46032</v>
      </c>
      <c r="J251" t="s">
        <v>62</v>
      </c>
      <c r="K251" t="s">
        <v>21</v>
      </c>
      <c r="L251" t="s">
        <v>22</v>
      </c>
      <c r="M251">
        <f t="shared" si="6"/>
        <v>23755.3</v>
      </c>
      <c r="N251">
        <f t="shared" si="7"/>
        <v>26</v>
      </c>
      <c r="O251" t="str">
        <f ca="1">IFERROR((G251-_xludf.XLOOKUP(D251,Articles!A:A,Articles!D:D))/_xludf.XLOOKUP(D251,Articles!A:A,Articles!D:D),"")</f>
        <v/>
      </c>
      <c r="P251" t="s">
        <v>29</v>
      </c>
    </row>
    <row r="252" spans="1:16" x14ac:dyDescent="0.3">
      <c r="A252" t="s">
        <v>361</v>
      </c>
      <c r="B252">
        <v>46010</v>
      </c>
      <c r="C252" t="s">
        <v>64</v>
      </c>
      <c r="D252" t="s">
        <v>202</v>
      </c>
      <c r="E252" t="s">
        <v>19</v>
      </c>
      <c r="F252">
        <v>81</v>
      </c>
      <c r="G252">
        <v>487.41</v>
      </c>
      <c r="H252">
        <v>46020</v>
      </c>
      <c r="I252">
        <v>46021</v>
      </c>
      <c r="J252" t="s">
        <v>20</v>
      </c>
      <c r="K252" t="s">
        <v>21</v>
      </c>
      <c r="L252" t="s">
        <v>48</v>
      </c>
      <c r="M252">
        <f t="shared" si="6"/>
        <v>39480.21</v>
      </c>
      <c r="N252">
        <f t="shared" si="7"/>
        <v>11</v>
      </c>
      <c r="O252" t="str">
        <f ca="1">IFERROR((G252-_xludf.XLOOKUP(D252,Articles!A:A,Articles!D:D))/_xludf.XLOOKUP(D252,Articles!A:A,Articles!D:D),"")</f>
        <v/>
      </c>
      <c r="P252" t="s">
        <v>29</v>
      </c>
    </row>
    <row r="253" spans="1:16" x14ac:dyDescent="0.3">
      <c r="A253" t="s">
        <v>362</v>
      </c>
      <c r="B253">
        <v>45953</v>
      </c>
      <c r="C253" t="s">
        <v>83</v>
      </c>
      <c r="D253" t="s">
        <v>40</v>
      </c>
      <c r="E253" t="s">
        <v>27</v>
      </c>
      <c r="F253">
        <v>133</v>
      </c>
      <c r="G253">
        <v>127.42</v>
      </c>
      <c r="H253">
        <v>45996</v>
      </c>
      <c r="I253">
        <v>46000</v>
      </c>
      <c r="J253" t="s">
        <v>20</v>
      </c>
      <c r="K253" t="s">
        <v>21</v>
      </c>
      <c r="L253" t="s">
        <v>45</v>
      </c>
      <c r="M253">
        <f t="shared" si="6"/>
        <v>16946.86</v>
      </c>
      <c r="N253">
        <f t="shared" si="7"/>
        <v>47</v>
      </c>
      <c r="O253" t="str">
        <f ca="1">IFERROR((G253-_xludf.XLOOKUP(D253,Articles!A:A,Articles!D:D))/_xludf.XLOOKUP(D253,Articles!A:A,Articles!D:D),"")</f>
        <v/>
      </c>
      <c r="P253" t="s">
        <v>23</v>
      </c>
    </row>
    <row r="254" spans="1:16" x14ac:dyDescent="0.3">
      <c r="A254" t="s">
        <v>363</v>
      </c>
      <c r="B254">
        <v>45962</v>
      </c>
      <c r="C254" t="s">
        <v>25</v>
      </c>
      <c r="D254" t="s">
        <v>202</v>
      </c>
      <c r="E254" t="s">
        <v>19</v>
      </c>
      <c r="F254">
        <v>128</v>
      </c>
      <c r="G254">
        <v>466.84</v>
      </c>
      <c r="H254">
        <v>45970</v>
      </c>
      <c r="I254">
        <v>45982</v>
      </c>
      <c r="J254" t="s">
        <v>62</v>
      </c>
      <c r="K254" t="s">
        <v>21</v>
      </c>
      <c r="L254" t="s">
        <v>33</v>
      </c>
      <c r="M254">
        <f t="shared" si="6"/>
        <v>59755.519999999997</v>
      </c>
      <c r="N254">
        <f t="shared" si="7"/>
        <v>20</v>
      </c>
      <c r="O254" t="str">
        <f ca="1">IFERROR((G254-_xludf.XLOOKUP(D254,Articles!A:A,Articles!D:D))/_xludf.XLOOKUP(D254,Articles!A:A,Articles!D:D),"")</f>
        <v/>
      </c>
      <c r="P254" t="s">
        <v>29</v>
      </c>
    </row>
    <row r="255" spans="1:16" x14ac:dyDescent="0.3">
      <c r="A255" t="s">
        <v>364</v>
      </c>
      <c r="B255">
        <v>46121</v>
      </c>
      <c r="C255" t="s">
        <v>75</v>
      </c>
      <c r="D255" t="s">
        <v>206</v>
      </c>
      <c r="E255" t="s">
        <v>56</v>
      </c>
      <c r="F255">
        <v>215</v>
      </c>
      <c r="G255">
        <v>191.78</v>
      </c>
      <c r="H255">
        <v>46135</v>
      </c>
      <c r="I255">
        <v>46147</v>
      </c>
      <c r="J255" t="s">
        <v>20</v>
      </c>
      <c r="K255" t="s">
        <v>21</v>
      </c>
      <c r="L255" t="s">
        <v>48</v>
      </c>
      <c r="M255">
        <f t="shared" si="6"/>
        <v>41232.699999999997</v>
      </c>
      <c r="N255">
        <f t="shared" si="7"/>
        <v>26</v>
      </c>
      <c r="O255" t="str">
        <f ca="1">IFERROR((G255-_xludf.XLOOKUP(D255,Articles!A:A,Articles!D:D))/_xludf.XLOOKUP(D255,Articles!A:A,Articles!D:D),"")</f>
        <v/>
      </c>
      <c r="P255" t="s">
        <v>34</v>
      </c>
    </row>
    <row r="256" spans="1:16" x14ac:dyDescent="0.3">
      <c r="A256" t="s">
        <v>365</v>
      </c>
      <c r="B256">
        <v>45904</v>
      </c>
      <c r="C256" t="s">
        <v>39</v>
      </c>
      <c r="D256" t="s">
        <v>81</v>
      </c>
      <c r="E256" t="s">
        <v>37</v>
      </c>
      <c r="F256">
        <v>68</v>
      </c>
      <c r="G256">
        <v>381.09</v>
      </c>
      <c r="H256">
        <v>45957</v>
      </c>
      <c r="I256">
        <v>45961</v>
      </c>
      <c r="J256" t="s">
        <v>20</v>
      </c>
      <c r="K256" t="s">
        <v>21</v>
      </c>
      <c r="L256" t="s">
        <v>45</v>
      </c>
      <c r="M256">
        <f t="shared" si="6"/>
        <v>25914.12</v>
      </c>
      <c r="N256">
        <f t="shared" si="7"/>
        <v>57</v>
      </c>
      <c r="O256" t="str">
        <f ca="1">IFERROR((G256-_xludf.XLOOKUP(D256,Articles!A:A,Articles!D:D))/_xludf.XLOOKUP(D256,Articles!A:A,Articles!D:D),"")</f>
        <v/>
      </c>
      <c r="P256" t="s">
        <v>29</v>
      </c>
    </row>
    <row r="257" spans="1:16" x14ac:dyDescent="0.3">
      <c r="A257" t="s">
        <v>366</v>
      </c>
      <c r="B257">
        <v>45922</v>
      </c>
      <c r="C257" t="s">
        <v>31</v>
      </c>
      <c r="D257" t="s">
        <v>78</v>
      </c>
      <c r="E257" t="s">
        <v>27</v>
      </c>
      <c r="F257">
        <v>164</v>
      </c>
      <c r="G257">
        <v>59.77</v>
      </c>
      <c r="H257">
        <v>45970</v>
      </c>
      <c r="I257">
        <v>45970</v>
      </c>
      <c r="J257" t="s">
        <v>20</v>
      </c>
      <c r="K257" t="s">
        <v>21</v>
      </c>
      <c r="L257" t="s">
        <v>28</v>
      </c>
      <c r="M257">
        <f t="shared" si="6"/>
        <v>9802.2800000000007</v>
      </c>
      <c r="N257">
        <f t="shared" si="7"/>
        <v>48</v>
      </c>
      <c r="O257" t="str">
        <f ca="1">IFERROR((G257-_xludf.XLOOKUP(D257,Articles!A:A,Articles!D:D))/_xludf.XLOOKUP(D257,Articles!A:A,Articles!D:D),"")</f>
        <v/>
      </c>
      <c r="P257" t="s">
        <v>29</v>
      </c>
    </row>
    <row r="258" spans="1:16" x14ac:dyDescent="0.3">
      <c r="A258" t="s">
        <v>367</v>
      </c>
      <c r="B258">
        <v>46001</v>
      </c>
      <c r="C258" t="s">
        <v>85</v>
      </c>
      <c r="D258" t="s">
        <v>69</v>
      </c>
      <c r="E258" t="s">
        <v>27</v>
      </c>
      <c r="F258">
        <v>151</v>
      </c>
      <c r="G258">
        <v>176</v>
      </c>
      <c r="H258">
        <v>46064</v>
      </c>
      <c r="I258">
        <v>46063</v>
      </c>
      <c r="J258" t="s">
        <v>20</v>
      </c>
      <c r="K258" t="s">
        <v>21</v>
      </c>
      <c r="L258" t="s">
        <v>48</v>
      </c>
      <c r="M258">
        <f t="shared" ref="M258:M321" si="8">F258*G258</f>
        <v>26576</v>
      </c>
      <c r="N258">
        <f t="shared" ref="N258:N321" si="9">IF(I258="","",I258-B258)</f>
        <v>62</v>
      </c>
      <c r="O258" t="str">
        <f ca="1">IFERROR((G258-_xludf.XLOOKUP(D258,Articles!A:A,Articles!D:D))/_xludf.XLOOKUP(D258,Articles!A:A,Articles!D:D),"")</f>
        <v/>
      </c>
      <c r="P258" t="s">
        <v>29</v>
      </c>
    </row>
    <row r="259" spans="1:16" x14ac:dyDescent="0.3">
      <c r="A259" t="s">
        <v>368</v>
      </c>
      <c r="B259">
        <v>46012</v>
      </c>
      <c r="C259" t="s">
        <v>39</v>
      </c>
      <c r="D259" t="s">
        <v>76</v>
      </c>
      <c r="E259" t="s">
        <v>27</v>
      </c>
      <c r="F259">
        <v>30</v>
      </c>
      <c r="G259">
        <v>178.04</v>
      </c>
      <c r="H259">
        <v>46074</v>
      </c>
      <c r="J259" t="s">
        <v>20</v>
      </c>
      <c r="K259" t="s">
        <v>21</v>
      </c>
      <c r="L259" t="s">
        <v>48</v>
      </c>
      <c r="M259">
        <f t="shared" si="8"/>
        <v>5341.2</v>
      </c>
      <c r="N259" t="str">
        <f t="shared" si="9"/>
        <v/>
      </c>
      <c r="O259" t="str">
        <f ca="1">IFERROR((G259-_xludf.XLOOKUP(D259,Articles!A:A,Articles!D:D))/_xludf.XLOOKUP(D259,Articles!A:A,Articles!D:D),"")</f>
        <v/>
      </c>
      <c r="P259" t="s">
        <v>29</v>
      </c>
    </row>
    <row r="260" spans="1:16" x14ac:dyDescent="0.3">
      <c r="A260" t="s">
        <v>369</v>
      </c>
      <c r="B260">
        <v>46080</v>
      </c>
      <c r="C260" t="s">
        <v>158</v>
      </c>
      <c r="D260" t="s">
        <v>65</v>
      </c>
      <c r="E260" t="s">
        <v>19</v>
      </c>
      <c r="F260">
        <v>3</v>
      </c>
      <c r="G260">
        <v>200.34</v>
      </c>
      <c r="H260">
        <v>46092</v>
      </c>
      <c r="J260" t="s">
        <v>20</v>
      </c>
      <c r="K260" t="s">
        <v>21</v>
      </c>
      <c r="L260" t="s">
        <v>28</v>
      </c>
      <c r="M260">
        <f t="shared" si="8"/>
        <v>601.02</v>
      </c>
      <c r="N260" t="str">
        <f t="shared" si="9"/>
        <v/>
      </c>
      <c r="O260" t="str">
        <f ca="1">IFERROR((G260-_xludf.XLOOKUP(D260,Articles!A:A,Articles!D:D))/_xludf.XLOOKUP(D260,Articles!A:A,Articles!D:D),"")</f>
        <v/>
      </c>
      <c r="P260" t="s">
        <v>34</v>
      </c>
    </row>
    <row r="261" spans="1:16" x14ac:dyDescent="0.3">
      <c r="A261" t="s">
        <v>370</v>
      </c>
      <c r="B261">
        <v>46092</v>
      </c>
      <c r="C261" t="s">
        <v>158</v>
      </c>
      <c r="D261" t="s">
        <v>98</v>
      </c>
      <c r="E261" t="s">
        <v>56</v>
      </c>
      <c r="F261">
        <v>200</v>
      </c>
      <c r="G261">
        <v>378.45</v>
      </c>
      <c r="H261">
        <v>46100</v>
      </c>
      <c r="I261">
        <v>46108</v>
      </c>
      <c r="J261" t="s">
        <v>20</v>
      </c>
      <c r="K261" t="s">
        <v>21</v>
      </c>
      <c r="L261" t="s">
        <v>33</v>
      </c>
      <c r="M261">
        <f t="shared" si="8"/>
        <v>75690</v>
      </c>
      <c r="N261">
        <f t="shared" si="9"/>
        <v>16</v>
      </c>
      <c r="O261" t="str">
        <f ca="1">IFERROR((G261-_xludf.XLOOKUP(D261,Articles!A:A,Articles!D:D))/_xludf.XLOOKUP(D261,Articles!A:A,Articles!D:D),"")</f>
        <v/>
      </c>
      <c r="P261" t="s">
        <v>29</v>
      </c>
    </row>
    <row r="262" spans="1:16" x14ac:dyDescent="0.3">
      <c r="A262" t="s">
        <v>371</v>
      </c>
      <c r="B262">
        <v>46028</v>
      </c>
      <c r="C262" t="s">
        <v>39</v>
      </c>
      <c r="D262" t="s">
        <v>112</v>
      </c>
      <c r="E262" t="s">
        <v>27</v>
      </c>
      <c r="F262">
        <v>117</v>
      </c>
      <c r="G262">
        <v>440.9</v>
      </c>
      <c r="H262">
        <v>46082</v>
      </c>
      <c r="I262">
        <v>46089</v>
      </c>
      <c r="J262" t="s">
        <v>62</v>
      </c>
      <c r="K262" t="s">
        <v>21</v>
      </c>
      <c r="L262" t="s">
        <v>33</v>
      </c>
      <c r="M262">
        <f t="shared" si="8"/>
        <v>51585.299999999996</v>
      </c>
      <c r="N262">
        <f t="shared" si="9"/>
        <v>61</v>
      </c>
      <c r="O262" t="str">
        <f ca="1">IFERROR((G262-_xludf.XLOOKUP(D262,Articles!A:A,Articles!D:D))/_xludf.XLOOKUP(D262,Articles!A:A,Articles!D:D),"")</f>
        <v/>
      </c>
      <c r="P262" t="s">
        <v>23</v>
      </c>
    </row>
    <row r="263" spans="1:16" x14ac:dyDescent="0.3">
      <c r="A263" t="s">
        <v>372</v>
      </c>
      <c r="B263">
        <v>46073</v>
      </c>
      <c r="C263" t="s">
        <v>75</v>
      </c>
      <c r="D263" t="s">
        <v>145</v>
      </c>
      <c r="E263" t="s">
        <v>27</v>
      </c>
      <c r="F263">
        <v>186</v>
      </c>
      <c r="G263">
        <v>208.11</v>
      </c>
      <c r="H263">
        <v>46101</v>
      </c>
      <c r="I263">
        <v>46098</v>
      </c>
      <c r="J263" t="s">
        <v>41</v>
      </c>
      <c r="K263" t="s">
        <v>21</v>
      </c>
      <c r="L263" t="s">
        <v>48</v>
      </c>
      <c r="M263">
        <f t="shared" si="8"/>
        <v>38708.46</v>
      </c>
      <c r="N263">
        <f t="shared" si="9"/>
        <v>25</v>
      </c>
      <c r="O263" t="str">
        <f ca="1">IFERROR((G263-_xludf.XLOOKUP(D263,Articles!A:A,Articles!D:D))/_xludf.XLOOKUP(D263,Articles!A:A,Articles!D:D),"")</f>
        <v/>
      </c>
      <c r="P263" t="s">
        <v>34</v>
      </c>
    </row>
    <row r="264" spans="1:16" x14ac:dyDescent="0.3">
      <c r="A264" t="s">
        <v>373</v>
      </c>
      <c r="B264">
        <v>45999</v>
      </c>
      <c r="C264" t="s">
        <v>64</v>
      </c>
      <c r="D264" t="s">
        <v>102</v>
      </c>
      <c r="E264" t="s">
        <v>37</v>
      </c>
      <c r="F264">
        <v>0</v>
      </c>
      <c r="G264">
        <v>258.08</v>
      </c>
      <c r="H264">
        <v>46055</v>
      </c>
      <c r="I264">
        <v>46067</v>
      </c>
      <c r="J264" t="s">
        <v>62</v>
      </c>
      <c r="K264" t="s">
        <v>21</v>
      </c>
      <c r="L264" t="s">
        <v>28</v>
      </c>
      <c r="M264">
        <f t="shared" si="8"/>
        <v>0</v>
      </c>
      <c r="N264">
        <f t="shared" si="9"/>
        <v>68</v>
      </c>
      <c r="O264" t="str">
        <f ca="1">IFERROR((G264-_xludf.XLOOKUP(D264,Articles!A:A,Articles!D:D))/_xludf.XLOOKUP(D264,Articles!A:A,Articles!D:D),"")</f>
        <v/>
      </c>
      <c r="P264" t="s">
        <v>29</v>
      </c>
    </row>
    <row r="265" spans="1:16" x14ac:dyDescent="0.3">
      <c r="A265" t="s">
        <v>374</v>
      </c>
      <c r="B265">
        <v>46007</v>
      </c>
      <c r="C265" t="s">
        <v>50</v>
      </c>
      <c r="D265" t="s">
        <v>26</v>
      </c>
      <c r="E265" t="s">
        <v>56</v>
      </c>
      <c r="F265">
        <v>235</v>
      </c>
      <c r="G265">
        <v>428.04</v>
      </c>
      <c r="H265">
        <v>46029</v>
      </c>
      <c r="J265" t="s">
        <v>20</v>
      </c>
      <c r="K265" t="s">
        <v>21</v>
      </c>
      <c r="L265" t="s">
        <v>28</v>
      </c>
      <c r="M265">
        <f t="shared" si="8"/>
        <v>100589.40000000001</v>
      </c>
      <c r="N265" t="str">
        <f t="shared" si="9"/>
        <v/>
      </c>
      <c r="O265" t="str">
        <f ca="1">IFERROR((G265-_xludf.XLOOKUP(D265,Articles!A:A,Articles!D:D))/_xludf.XLOOKUP(D265,Articles!A:A,Articles!D:D),"")</f>
        <v/>
      </c>
      <c r="P265" t="s">
        <v>29</v>
      </c>
    </row>
    <row r="266" spans="1:16" x14ac:dyDescent="0.3">
      <c r="A266" t="s">
        <v>375</v>
      </c>
      <c r="B266">
        <v>45912</v>
      </c>
      <c r="C266" t="s">
        <v>123</v>
      </c>
      <c r="D266" t="s">
        <v>44</v>
      </c>
      <c r="E266" t="s">
        <v>56</v>
      </c>
      <c r="F266">
        <v>245</v>
      </c>
      <c r="G266">
        <v>99.43</v>
      </c>
      <c r="H266">
        <v>45947</v>
      </c>
      <c r="I266">
        <v>45948</v>
      </c>
      <c r="J266" t="s">
        <v>20</v>
      </c>
      <c r="K266" t="s">
        <v>21</v>
      </c>
      <c r="L266" t="s">
        <v>22</v>
      </c>
      <c r="M266">
        <f t="shared" si="8"/>
        <v>24360.350000000002</v>
      </c>
      <c r="N266">
        <f t="shared" si="9"/>
        <v>36</v>
      </c>
      <c r="O266" t="str">
        <f ca="1">IFERROR((G266-_xludf.XLOOKUP(D266,Articles!A:A,Articles!D:D))/_xludf.XLOOKUP(D266,Articles!A:A,Articles!D:D),"")</f>
        <v/>
      </c>
      <c r="P266" t="s">
        <v>29</v>
      </c>
    </row>
    <row r="267" spans="1:16" x14ac:dyDescent="0.3">
      <c r="A267" t="s">
        <v>376</v>
      </c>
      <c r="B267">
        <v>45995</v>
      </c>
      <c r="C267" t="s">
        <v>80</v>
      </c>
      <c r="D267" t="s">
        <v>377</v>
      </c>
      <c r="E267" t="s">
        <v>37</v>
      </c>
      <c r="F267">
        <v>52</v>
      </c>
      <c r="G267">
        <v>360.92</v>
      </c>
      <c r="H267">
        <v>46034</v>
      </c>
      <c r="I267">
        <v>46034</v>
      </c>
      <c r="J267" t="s">
        <v>20</v>
      </c>
      <c r="K267" t="s">
        <v>21</v>
      </c>
      <c r="L267" t="s">
        <v>28</v>
      </c>
      <c r="M267">
        <f t="shared" si="8"/>
        <v>18767.84</v>
      </c>
      <c r="N267">
        <f t="shared" si="9"/>
        <v>39</v>
      </c>
      <c r="O267" t="str">
        <f ca="1">IFERROR((G267-_xludf.XLOOKUP(D267,Articles!A:A,Articles!D:D))/_xludf.XLOOKUP(D267,Articles!A:A,Articles!D:D),"")</f>
        <v/>
      </c>
      <c r="P267" t="s">
        <v>29</v>
      </c>
    </row>
    <row r="268" spans="1:16" x14ac:dyDescent="0.3">
      <c r="A268" t="s">
        <v>378</v>
      </c>
      <c r="B268">
        <v>45939</v>
      </c>
      <c r="C268" t="s">
        <v>50</v>
      </c>
      <c r="D268" t="s">
        <v>69</v>
      </c>
      <c r="E268" t="s">
        <v>56</v>
      </c>
      <c r="F268">
        <v>2</v>
      </c>
      <c r="G268">
        <v>191.13</v>
      </c>
      <c r="H268">
        <v>45992</v>
      </c>
      <c r="I268">
        <v>45992</v>
      </c>
      <c r="J268" t="s">
        <v>20</v>
      </c>
      <c r="K268" t="s">
        <v>21</v>
      </c>
      <c r="L268" t="s">
        <v>33</v>
      </c>
      <c r="M268">
        <f t="shared" si="8"/>
        <v>382.26</v>
      </c>
      <c r="N268">
        <f t="shared" si="9"/>
        <v>53</v>
      </c>
      <c r="O268" t="str">
        <f ca="1">IFERROR((G268-_xludf.XLOOKUP(D268,Articles!A:A,Articles!D:D))/_xludf.XLOOKUP(D268,Articles!A:A,Articles!D:D),"")</f>
        <v/>
      </c>
      <c r="P268" t="s">
        <v>29</v>
      </c>
    </row>
    <row r="269" spans="1:16" x14ac:dyDescent="0.3">
      <c r="A269" t="s">
        <v>379</v>
      </c>
      <c r="B269">
        <v>46118</v>
      </c>
      <c r="C269" t="s">
        <v>31</v>
      </c>
      <c r="D269" t="s">
        <v>65</v>
      </c>
      <c r="E269" t="s">
        <v>37</v>
      </c>
      <c r="F269">
        <v>189</v>
      </c>
      <c r="G269">
        <v>303.66000000000003</v>
      </c>
      <c r="H269">
        <v>46126</v>
      </c>
      <c r="I269">
        <v>46126</v>
      </c>
      <c r="J269" t="s">
        <v>20</v>
      </c>
      <c r="K269" t="s">
        <v>21</v>
      </c>
      <c r="L269" t="s">
        <v>48</v>
      </c>
      <c r="M269">
        <f t="shared" si="8"/>
        <v>57391.740000000005</v>
      </c>
      <c r="N269">
        <f t="shared" si="9"/>
        <v>8</v>
      </c>
      <c r="O269" t="str">
        <f ca="1">IFERROR((G269-_xludf.XLOOKUP(D269,Articles!A:A,Articles!D:D))/_xludf.XLOOKUP(D269,Articles!A:A,Articles!D:D),"")</f>
        <v/>
      </c>
      <c r="P269" t="s">
        <v>29</v>
      </c>
    </row>
    <row r="270" spans="1:16" x14ac:dyDescent="0.3">
      <c r="A270" t="s">
        <v>380</v>
      </c>
      <c r="B270">
        <v>45924</v>
      </c>
      <c r="C270" t="s">
        <v>67</v>
      </c>
      <c r="D270" t="s">
        <v>59</v>
      </c>
      <c r="E270" t="s">
        <v>56</v>
      </c>
      <c r="F270">
        <v>12</v>
      </c>
      <c r="G270">
        <v>241.52</v>
      </c>
      <c r="H270">
        <v>45981</v>
      </c>
      <c r="I270">
        <v>45985</v>
      </c>
      <c r="J270" t="s">
        <v>20</v>
      </c>
      <c r="K270" t="s">
        <v>21</v>
      </c>
      <c r="L270" t="s">
        <v>22</v>
      </c>
      <c r="M270">
        <f t="shared" si="8"/>
        <v>2898.2400000000002</v>
      </c>
      <c r="N270">
        <f t="shared" si="9"/>
        <v>61</v>
      </c>
      <c r="O270" t="str">
        <f ca="1">IFERROR((G270-_xludf.XLOOKUP(D270,Articles!A:A,Articles!D:D))/_xludf.XLOOKUP(D270,Articles!A:A,Articles!D:D),"")</f>
        <v/>
      </c>
      <c r="P270" t="s">
        <v>29</v>
      </c>
    </row>
    <row r="271" spans="1:16" x14ac:dyDescent="0.3">
      <c r="A271" t="s">
        <v>381</v>
      </c>
      <c r="B271">
        <v>45935</v>
      </c>
      <c r="C271" t="s">
        <v>123</v>
      </c>
      <c r="D271" t="s">
        <v>145</v>
      </c>
      <c r="E271" t="s">
        <v>27</v>
      </c>
      <c r="F271">
        <v>164</v>
      </c>
      <c r="G271">
        <v>257.83999999999997</v>
      </c>
      <c r="H271">
        <v>45956</v>
      </c>
      <c r="I271">
        <v>45953</v>
      </c>
      <c r="J271" t="s">
        <v>20</v>
      </c>
      <c r="K271" t="s">
        <v>21</v>
      </c>
      <c r="L271" t="s">
        <v>33</v>
      </c>
      <c r="M271">
        <f t="shared" si="8"/>
        <v>42285.759999999995</v>
      </c>
      <c r="N271">
        <f t="shared" si="9"/>
        <v>18</v>
      </c>
      <c r="O271" t="str">
        <f ca="1">IFERROR((G271-_xludf.XLOOKUP(D271,Articles!A:A,Articles!D:D))/_xludf.XLOOKUP(D271,Articles!A:A,Articles!D:D),"")</f>
        <v/>
      </c>
      <c r="P271" t="s">
        <v>23</v>
      </c>
    </row>
    <row r="272" spans="1:16" x14ac:dyDescent="0.3">
      <c r="A272" t="s">
        <v>382</v>
      </c>
      <c r="B272">
        <v>46106</v>
      </c>
      <c r="C272" t="s">
        <v>25</v>
      </c>
      <c r="D272" t="s">
        <v>239</v>
      </c>
      <c r="E272" t="s">
        <v>27</v>
      </c>
      <c r="F272">
        <v>101</v>
      </c>
      <c r="G272">
        <v>350.8</v>
      </c>
      <c r="H272">
        <v>46164</v>
      </c>
      <c r="I272">
        <v>46166</v>
      </c>
      <c r="J272" t="s">
        <v>20</v>
      </c>
      <c r="K272" t="s">
        <v>21</v>
      </c>
      <c r="L272" t="s">
        <v>28</v>
      </c>
      <c r="M272">
        <f t="shared" si="8"/>
        <v>35430.800000000003</v>
      </c>
      <c r="N272">
        <f t="shared" si="9"/>
        <v>60</v>
      </c>
      <c r="O272" t="str">
        <f ca="1">IFERROR((G272-_xludf.XLOOKUP(D272,Articles!A:A,Articles!D:D))/_xludf.XLOOKUP(D272,Articles!A:A,Articles!D:D),"")</f>
        <v/>
      </c>
      <c r="P272" t="s">
        <v>29</v>
      </c>
    </row>
    <row r="273" spans="1:16" x14ac:dyDescent="0.3">
      <c r="A273" t="s">
        <v>383</v>
      </c>
      <c r="B273">
        <v>45940</v>
      </c>
      <c r="C273" t="s">
        <v>384</v>
      </c>
      <c r="D273" t="s">
        <v>81</v>
      </c>
      <c r="E273" t="s">
        <v>27</v>
      </c>
      <c r="F273">
        <v>28</v>
      </c>
      <c r="G273">
        <v>374.67</v>
      </c>
      <c r="H273">
        <v>46000</v>
      </c>
      <c r="I273">
        <v>46002</v>
      </c>
      <c r="J273" t="s">
        <v>20</v>
      </c>
      <c r="K273" t="s">
        <v>21</v>
      </c>
      <c r="L273" t="s">
        <v>45</v>
      </c>
      <c r="M273">
        <f t="shared" si="8"/>
        <v>10490.76</v>
      </c>
      <c r="N273">
        <f t="shared" si="9"/>
        <v>62</v>
      </c>
      <c r="O273" t="str">
        <f ca="1">IFERROR((G273-_xludf.XLOOKUP(D273,Articles!A:A,Articles!D:D))/_xludf.XLOOKUP(D273,Articles!A:A,Articles!D:D),"")</f>
        <v/>
      </c>
      <c r="P273" t="s">
        <v>29</v>
      </c>
    </row>
    <row r="274" spans="1:16" x14ac:dyDescent="0.3">
      <c r="A274" t="s">
        <v>385</v>
      </c>
      <c r="B274">
        <v>45968</v>
      </c>
      <c r="C274" t="s">
        <v>95</v>
      </c>
      <c r="D274" t="s">
        <v>121</v>
      </c>
      <c r="E274" t="s">
        <v>56</v>
      </c>
      <c r="F274">
        <v>219</v>
      </c>
      <c r="G274">
        <v>79.849999999999994</v>
      </c>
      <c r="H274">
        <v>46011</v>
      </c>
      <c r="I274">
        <v>46012</v>
      </c>
      <c r="J274" t="s">
        <v>62</v>
      </c>
      <c r="K274" t="s">
        <v>21</v>
      </c>
      <c r="L274" t="s">
        <v>28</v>
      </c>
      <c r="M274">
        <f t="shared" si="8"/>
        <v>17487.149999999998</v>
      </c>
      <c r="N274">
        <f t="shared" si="9"/>
        <v>44</v>
      </c>
      <c r="O274" t="str">
        <f ca="1">IFERROR((G274-_xludf.XLOOKUP(D274,Articles!A:A,Articles!D:D))/_xludf.XLOOKUP(D274,Articles!A:A,Articles!D:D),"")</f>
        <v/>
      </c>
      <c r="P274" t="s">
        <v>29</v>
      </c>
    </row>
    <row r="275" spans="1:16" x14ac:dyDescent="0.3">
      <c r="A275" t="s">
        <v>386</v>
      </c>
      <c r="B275">
        <v>45924</v>
      </c>
      <c r="C275" t="s">
        <v>75</v>
      </c>
      <c r="D275" t="s">
        <v>26</v>
      </c>
      <c r="E275" t="s">
        <v>19</v>
      </c>
      <c r="F275">
        <v>183</v>
      </c>
      <c r="G275">
        <v>371.18</v>
      </c>
      <c r="H275">
        <v>45947</v>
      </c>
      <c r="I275">
        <v>45951</v>
      </c>
      <c r="J275" t="s">
        <v>20</v>
      </c>
      <c r="K275" t="s">
        <v>21</v>
      </c>
      <c r="L275" t="s">
        <v>28</v>
      </c>
      <c r="M275">
        <f t="shared" si="8"/>
        <v>67925.94</v>
      </c>
      <c r="N275">
        <f t="shared" si="9"/>
        <v>27</v>
      </c>
      <c r="O275" t="str">
        <f ca="1">IFERROR((G275-_xludf.XLOOKUP(D275,Articles!A:A,Articles!D:D))/_xludf.XLOOKUP(D275,Articles!A:A,Articles!D:D),"")</f>
        <v/>
      </c>
      <c r="P275" t="s">
        <v>29</v>
      </c>
    </row>
    <row r="276" spans="1:16" x14ac:dyDescent="0.3">
      <c r="A276" t="s">
        <v>387</v>
      </c>
      <c r="B276">
        <v>46119</v>
      </c>
      <c r="C276" t="s">
        <v>31</v>
      </c>
      <c r="D276" t="s">
        <v>209</v>
      </c>
      <c r="E276" t="s">
        <v>27</v>
      </c>
      <c r="F276">
        <v>116</v>
      </c>
      <c r="G276">
        <v>255.22</v>
      </c>
      <c r="H276">
        <v>46146</v>
      </c>
      <c r="I276">
        <v>46146</v>
      </c>
      <c r="J276" t="s">
        <v>41</v>
      </c>
      <c r="K276" t="s">
        <v>21</v>
      </c>
      <c r="L276" t="s">
        <v>48</v>
      </c>
      <c r="M276">
        <f t="shared" si="8"/>
        <v>29605.52</v>
      </c>
      <c r="N276">
        <f t="shared" si="9"/>
        <v>27</v>
      </c>
      <c r="O276" t="str">
        <f ca="1">IFERROR((G276-_xludf.XLOOKUP(D276,Articles!A:A,Articles!D:D))/_xludf.XLOOKUP(D276,Articles!A:A,Articles!D:D),"")</f>
        <v/>
      </c>
      <c r="P276" t="s">
        <v>29</v>
      </c>
    </row>
    <row r="277" spans="1:16" x14ac:dyDescent="0.3">
      <c r="A277" t="s">
        <v>388</v>
      </c>
      <c r="B277">
        <v>46113</v>
      </c>
      <c r="C277" t="s">
        <v>132</v>
      </c>
      <c r="D277" t="s">
        <v>65</v>
      </c>
      <c r="E277" t="s">
        <v>56</v>
      </c>
      <c r="F277">
        <v>200</v>
      </c>
      <c r="G277">
        <v>255.07</v>
      </c>
      <c r="H277">
        <v>46122</v>
      </c>
      <c r="I277">
        <v>46122</v>
      </c>
      <c r="J277" t="s">
        <v>62</v>
      </c>
      <c r="K277" t="s">
        <v>21</v>
      </c>
      <c r="L277" t="s">
        <v>22</v>
      </c>
      <c r="M277">
        <f t="shared" si="8"/>
        <v>51014</v>
      </c>
      <c r="N277">
        <f t="shared" si="9"/>
        <v>9</v>
      </c>
      <c r="O277" t="str">
        <f ca="1">IFERROR((G277-_xludf.XLOOKUP(D277,Articles!A:A,Articles!D:D))/_xludf.XLOOKUP(D277,Articles!A:A,Articles!D:D),"")</f>
        <v/>
      </c>
      <c r="P277" t="s">
        <v>29</v>
      </c>
    </row>
    <row r="278" spans="1:16" x14ac:dyDescent="0.3">
      <c r="A278" t="s">
        <v>389</v>
      </c>
      <c r="B278">
        <v>46109</v>
      </c>
      <c r="C278" t="s">
        <v>67</v>
      </c>
      <c r="D278" t="s">
        <v>390</v>
      </c>
      <c r="E278" t="s">
        <v>27</v>
      </c>
      <c r="F278">
        <v>20</v>
      </c>
      <c r="G278">
        <v>356.85</v>
      </c>
      <c r="H278">
        <v>46163</v>
      </c>
      <c r="I278">
        <v>46163</v>
      </c>
      <c r="J278" t="s">
        <v>62</v>
      </c>
      <c r="K278" t="s">
        <v>21</v>
      </c>
      <c r="L278" t="s">
        <v>48</v>
      </c>
      <c r="M278">
        <f t="shared" si="8"/>
        <v>7137</v>
      </c>
      <c r="N278">
        <f t="shared" si="9"/>
        <v>54</v>
      </c>
      <c r="O278" t="str">
        <f ca="1">IFERROR((G278-_xludf.XLOOKUP(D278,Articles!A:A,Articles!D:D))/_xludf.XLOOKUP(D278,Articles!A:A,Articles!D:D),"")</f>
        <v/>
      </c>
      <c r="P278" t="s">
        <v>29</v>
      </c>
    </row>
    <row r="279" spans="1:16" x14ac:dyDescent="0.3">
      <c r="A279" t="s">
        <v>391</v>
      </c>
      <c r="B279">
        <v>45911</v>
      </c>
      <c r="C279" t="s">
        <v>75</v>
      </c>
      <c r="D279" t="s">
        <v>130</v>
      </c>
      <c r="E279" t="s">
        <v>56</v>
      </c>
      <c r="F279">
        <v>242</v>
      </c>
      <c r="G279">
        <v>254.81</v>
      </c>
      <c r="H279">
        <v>45936</v>
      </c>
      <c r="I279">
        <v>45940</v>
      </c>
      <c r="J279" t="s">
        <v>62</v>
      </c>
      <c r="K279" t="s">
        <v>21</v>
      </c>
      <c r="L279" t="s">
        <v>45</v>
      </c>
      <c r="M279">
        <f t="shared" si="8"/>
        <v>61664.020000000004</v>
      </c>
      <c r="N279">
        <f t="shared" si="9"/>
        <v>29</v>
      </c>
      <c r="O279" t="str">
        <f ca="1">IFERROR((G279-_xludf.XLOOKUP(D279,Articles!A:A,Articles!D:D))/_xludf.XLOOKUP(D279,Articles!A:A,Articles!D:D),"")</f>
        <v/>
      </c>
      <c r="P279" t="s">
        <v>29</v>
      </c>
    </row>
    <row r="280" spans="1:16" x14ac:dyDescent="0.3">
      <c r="A280" t="s">
        <v>392</v>
      </c>
      <c r="B280">
        <v>45945</v>
      </c>
      <c r="C280" t="s">
        <v>17</v>
      </c>
      <c r="D280" t="s">
        <v>155</v>
      </c>
      <c r="E280" t="s">
        <v>56</v>
      </c>
      <c r="F280">
        <v>91</v>
      </c>
      <c r="G280">
        <v>147.03</v>
      </c>
      <c r="H280">
        <v>46000</v>
      </c>
      <c r="I280">
        <v>46001</v>
      </c>
      <c r="J280" t="s">
        <v>20</v>
      </c>
      <c r="K280" t="s">
        <v>21</v>
      </c>
      <c r="L280" t="s">
        <v>22</v>
      </c>
      <c r="M280">
        <f t="shared" si="8"/>
        <v>13379.73</v>
      </c>
      <c r="N280">
        <f t="shared" si="9"/>
        <v>56</v>
      </c>
      <c r="O280" t="str">
        <f ca="1">IFERROR((G280-_xludf.XLOOKUP(D280,Articles!A:A,Articles!D:D))/_xludf.XLOOKUP(D280,Articles!A:A,Articles!D:D),"")</f>
        <v/>
      </c>
      <c r="P280" t="s">
        <v>34</v>
      </c>
    </row>
    <row r="281" spans="1:16" x14ac:dyDescent="0.3">
      <c r="A281" t="s">
        <v>393</v>
      </c>
      <c r="B281">
        <v>45963</v>
      </c>
      <c r="C281" t="s">
        <v>114</v>
      </c>
      <c r="D281" t="s">
        <v>212</v>
      </c>
      <c r="E281" t="s">
        <v>37</v>
      </c>
      <c r="F281">
        <v>166</v>
      </c>
      <c r="G281">
        <v>388.51</v>
      </c>
      <c r="H281">
        <v>45994</v>
      </c>
      <c r="I281">
        <v>46006</v>
      </c>
      <c r="J281" t="s">
        <v>20</v>
      </c>
      <c r="K281" t="s">
        <v>21</v>
      </c>
      <c r="L281" t="s">
        <v>28</v>
      </c>
      <c r="M281">
        <f t="shared" si="8"/>
        <v>64492.659999999996</v>
      </c>
      <c r="N281">
        <f t="shared" si="9"/>
        <v>43</v>
      </c>
      <c r="O281" t="str">
        <f ca="1">IFERROR((G281-_xludf.XLOOKUP(D281,Articles!A:A,Articles!D:D))/_xludf.XLOOKUP(D281,Articles!A:A,Articles!D:D),"")</f>
        <v/>
      </c>
      <c r="P281" t="s">
        <v>29</v>
      </c>
    </row>
    <row r="282" spans="1:16" x14ac:dyDescent="0.3">
      <c r="A282" t="s">
        <v>394</v>
      </c>
      <c r="B282">
        <v>46065</v>
      </c>
      <c r="C282" t="s">
        <v>43</v>
      </c>
      <c r="D282" t="s">
        <v>32</v>
      </c>
      <c r="E282" t="s">
        <v>19</v>
      </c>
      <c r="F282">
        <v>227</v>
      </c>
      <c r="G282">
        <v>270.22000000000003</v>
      </c>
      <c r="H282">
        <v>46090</v>
      </c>
      <c r="I282">
        <v>46102</v>
      </c>
      <c r="J282" t="s">
        <v>20</v>
      </c>
      <c r="K282" t="s">
        <v>21</v>
      </c>
      <c r="L282" t="s">
        <v>45</v>
      </c>
      <c r="M282">
        <f t="shared" si="8"/>
        <v>61339.94000000001</v>
      </c>
      <c r="N282">
        <f t="shared" si="9"/>
        <v>37</v>
      </c>
      <c r="O282" t="str">
        <f ca="1">IFERROR((G282-_xludf.XLOOKUP(D282,Articles!A:A,Articles!D:D))/_xludf.XLOOKUP(D282,Articles!A:A,Articles!D:D),"")</f>
        <v/>
      </c>
      <c r="P282" t="s">
        <v>23</v>
      </c>
    </row>
    <row r="283" spans="1:16" x14ac:dyDescent="0.3">
      <c r="A283" t="s">
        <v>395</v>
      </c>
      <c r="B283">
        <v>45989</v>
      </c>
      <c r="C283" t="s">
        <v>72</v>
      </c>
      <c r="D283" t="s">
        <v>69</v>
      </c>
      <c r="E283" t="s">
        <v>27</v>
      </c>
      <c r="F283">
        <v>234</v>
      </c>
      <c r="G283">
        <v>172.51</v>
      </c>
      <c r="H283">
        <v>46047</v>
      </c>
      <c r="I283">
        <v>46051</v>
      </c>
      <c r="J283" t="s">
        <v>20</v>
      </c>
      <c r="K283" t="s">
        <v>21</v>
      </c>
      <c r="L283" t="s">
        <v>48</v>
      </c>
      <c r="M283">
        <f t="shared" si="8"/>
        <v>40367.339999999997</v>
      </c>
      <c r="N283">
        <f t="shared" si="9"/>
        <v>62</v>
      </c>
      <c r="O283" t="str">
        <f ca="1">IFERROR((G283-_xludf.XLOOKUP(D283,Articles!A:A,Articles!D:D))/_xludf.XLOOKUP(D283,Articles!A:A,Articles!D:D),"")</f>
        <v/>
      </c>
      <c r="P283" t="s">
        <v>29</v>
      </c>
    </row>
    <row r="284" spans="1:16" x14ac:dyDescent="0.3">
      <c r="A284" t="s">
        <v>396</v>
      </c>
      <c r="B284">
        <v>46108</v>
      </c>
      <c r="C284" t="s">
        <v>58</v>
      </c>
      <c r="D284" t="s">
        <v>128</v>
      </c>
      <c r="E284" t="s">
        <v>27</v>
      </c>
      <c r="F284">
        <v>121</v>
      </c>
      <c r="G284">
        <v>440.02</v>
      </c>
      <c r="H284">
        <v>46157</v>
      </c>
      <c r="I284">
        <v>46157</v>
      </c>
      <c r="J284" t="s">
        <v>52</v>
      </c>
      <c r="K284" t="s">
        <v>21</v>
      </c>
      <c r="L284" t="s">
        <v>33</v>
      </c>
      <c r="M284">
        <f t="shared" si="8"/>
        <v>53242.42</v>
      </c>
      <c r="N284">
        <f t="shared" si="9"/>
        <v>49</v>
      </c>
      <c r="O284" t="str">
        <f ca="1">IFERROR((G284-_xludf.XLOOKUP(D284,Articles!A:A,Articles!D:D))/_xludf.XLOOKUP(D284,Articles!A:A,Articles!D:D),"")</f>
        <v/>
      </c>
      <c r="P284" t="s">
        <v>29</v>
      </c>
    </row>
    <row r="285" spans="1:16" x14ac:dyDescent="0.3">
      <c r="A285" t="s">
        <v>397</v>
      </c>
      <c r="B285">
        <v>46096</v>
      </c>
      <c r="C285" t="s">
        <v>132</v>
      </c>
      <c r="D285" t="s">
        <v>69</v>
      </c>
      <c r="E285" t="s">
        <v>27</v>
      </c>
      <c r="F285">
        <v>243</v>
      </c>
      <c r="G285">
        <v>154.94</v>
      </c>
      <c r="H285">
        <v>46155</v>
      </c>
      <c r="I285">
        <v>46170</v>
      </c>
      <c r="J285" t="s">
        <v>62</v>
      </c>
      <c r="K285" t="s">
        <v>21</v>
      </c>
      <c r="L285" t="s">
        <v>28</v>
      </c>
      <c r="M285">
        <f t="shared" si="8"/>
        <v>37650.42</v>
      </c>
      <c r="N285">
        <f t="shared" si="9"/>
        <v>74</v>
      </c>
      <c r="O285" t="str">
        <f ca="1">IFERROR((G285-_xludf.XLOOKUP(D285,Articles!A:A,Articles!D:D))/_xludf.XLOOKUP(D285,Articles!A:A,Articles!D:D),"")</f>
        <v/>
      </c>
      <c r="P285" t="s">
        <v>23</v>
      </c>
    </row>
    <row r="286" spans="1:16" x14ac:dyDescent="0.3">
      <c r="A286" t="s">
        <v>398</v>
      </c>
      <c r="B286">
        <v>45982</v>
      </c>
      <c r="C286" t="s">
        <v>75</v>
      </c>
      <c r="D286" t="s">
        <v>76</v>
      </c>
      <c r="E286" t="s">
        <v>27</v>
      </c>
      <c r="F286">
        <v>207</v>
      </c>
      <c r="G286">
        <v>193.47</v>
      </c>
      <c r="H286">
        <v>46040</v>
      </c>
      <c r="I286">
        <v>46037</v>
      </c>
      <c r="J286" t="s">
        <v>20</v>
      </c>
      <c r="K286" t="s">
        <v>21</v>
      </c>
      <c r="L286" t="s">
        <v>22</v>
      </c>
      <c r="M286">
        <f t="shared" si="8"/>
        <v>40048.29</v>
      </c>
      <c r="N286">
        <f t="shared" si="9"/>
        <v>55</v>
      </c>
      <c r="O286" t="str">
        <f ca="1">IFERROR((G286-_xludf.XLOOKUP(D286,Articles!A:A,Articles!D:D))/_xludf.XLOOKUP(D286,Articles!A:A,Articles!D:D),"")</f>
        <v/>
      </c>
      <c r="P286" t="s">
        <v>29</v>
      </c>
    </row>
    <row r="287" spans="1:16" x14ac:dyDescent="0.3">
      <c r="A287" t="s">
        <v>399</v>
      </c>
      <c r="B287">
        <v>46039</v>
      </c>
      <c r="C287" t="s">
        <v>72</v>
      </c>
      <c r="D287" t="s">
        <v>294</v>
      </c>
      <c r="E287" t="s">
        <v>56</v>
      </c>
      <c r="F287">
        <v>80</v>
      </c>
      <c r="G287">
        <v>375.58</v>
      </c>
      <c r="H287">
        <v>46070</v>
      </c>
      <c r="I287">
        <v>46069</v>
      </c>
      <c r="J287" t="s">
        <v>41</v>
      </c>
      <c r="K287" t="s">
        <v>21</v>
      </c>
      <c r="L287" t="s">
        <v>22</v>
      </c>
      <c r="M287">
        <f t="shared" si="8"/>
        <v>30046.399999999998</v>
      </c>
      <c r="N287">
        <f t="shared" si="9"/>
        <v>30</v>
      </c>
      <c r="O287" t="str">
        <f ca="1">IFERROR((G287-_xludf.XLOOKUP(D287,Articles!A:A,Articles!D:D))/_xludf.XLOOKUP(D287,Articles!A:A,Articles!D:D),"")</f>
        <v/>
      </c>
      <c r="P287" t="s">
        <v>29</v>
      </c>
    </row>
    <row r="288" spans="1:16" x14ac:dyDescent="0.3">
      <c r="A288" t="s">
        <v>400</v>
      </c>
      <c r="B288">
        <v>45985</v>
      </c>
      <c r="C288" t="s">
        <v>80</v>
      </c>
      <c r="D288" t="s">
        <v>102</v>
      </c>
      <c r="E288" t="s">
        <v>19</v>
      </c>
      <c r="F288">
        <v>-5</v>
      </c>
      <c r="G288">
        <v>298.22000000000003</v>
      </c>
      <c r="H288">
        <v>46043</v>
      </c>
      <c r="I288">
        <v>46045</v>
      </c>
      <c r="J288" t="s">
        <v>20</v>
      </c>
      <c r="K288" t="s">
        <v>21</v>
      </c>
      <c r="L288" t="s">
        <v>48</v>
      </c>
      <c r="M288">
        <f t="shared" si="8"/>
        <v>-1491.1000000000001</v>
      </c>
      <c r="N288">
        <f t="shared" si="9"/>
        <v>60</v>
      </c>
      <c r="O288" t="str">
        <f ca="1">IFERROR((G288-_xludf.XLOOKUP(D288,Articles!A:A,Articles!D:D))/_xludf.XLOOKUP(D288,Articles!A:A,Articles!D:D),"")</f>
        <v/>
      </c>
      <c r="P288" t="s">
        <v>23</v>
      </c>
    </row>
    <row r="289" spans="1:16" x14ac:dyDescent="0.3">
      <c r="A289" t="s">
        <v>401</v>
      </c>
      <c r="B289">
        <v>46051</v>
      </c>
      <c r="C289" t="s">
        <v>158</v>
      </c>
      <c r="D289" t="s">
        <v>209</v>
      </c>
      <c r="E289" t="s">
        <v>19</v>
      </c>
      <c r="F289">
        <v>181</v>
      </c>
      <c r="G289">
        <v>282.43</v>
      </c>
      <c r="H289">
        <v>46071</v>
      </c>
      <c r="I289">
        <v>46083</v>
      </c>
      <c r="J289" t="s">
        <v>62</v>
      </c>
      <c r="K289" t="s">
        <v>21</v>
      </c>
      <c r="L289" t="s">
        <v>45</v>
      </c>
      <c r="M289">
        <f t="shared" si="8"/>
        <v>51119.83</v>
      </c>
      <c r="N289">
        <f t="shared" si="9"/>
        <v>32</v>
      </c>
      <c r="O289" t="str">
        <f ca="1">IFERROR((G289-_xludf.XLOOKUP(D289,Articles!A:A,Articles!D:D))/_xludf.XLOOKUP(D289,Articles!A:A,Articles!D:D),"")</f>
        <v/>
      </c>
      <c r="P289" t="s">
        <v>23</v>
      </c>
    </row>
    <row r="290" spans="1:16" x14ac:dyDescent="0.3">
      <c r="A290" t="s">
        <v>402</v>
      </c>
      <c r="B290">
        <v>45987</v>
      </c>
      <c r="C290" t="s">
        <v>67</v>
      </c>
      <c r="D290" t="s">
        <v>81</v>
      </c>
      <c r="E290" t="s">
        <v>19</v>
      </c>
      <c r="F290">
        <v>78</v>
      </c>
      <c r="G290">
        <v>394.45</v>
      </c>
      <c r="H290">
        <v>46042</v>
      </c>
      <c r="I290">
        <v>46046</v>
      </c>
      <c r="J290" t="s">
        <v>20</v>
      </c>
      <c r="K290" t="s">
        <v>21</v>
      </c>
      <c r="L290" t="s">
        <v>28</v>
      </c>
      <c r="M290">
        <f t="shared" si="8"/>
        <v>30767.1</v>
      </c>
      <c r="N290">
        <f t="shared" si="9"/>
        <v>59</v>
      </c>
      <c r="O290" t="str">
        <f ca="1">IFERROR((G290-_xludf.XLOOKUP(D290,Articles!A:A,Articles!D:D))/_xludf.XLOOKUP(D290,Articles!A:A,Articles!D:D),"")</f>
        <v/>
      </c>
      <c r="P290" t="s">
        <v>23</v>
      </c>
    </row>
    <row r="291" spans="1:16" x14ac:dyDescent="0.3">
      <c r="A291" t="s">
        <v>403</v>
      </c>
      <c r="B291">
        <v>46102</v>
      </c>
      <c r="C291" t="s">
        <v>114</v>
      </c>
      <c r="D291" t="s">
        <v>51</v>
      </c>
      <c r="E291" t="s">
        <v>19</v>
      </c>
      <c r="F291">
        <v>92</v>
      </c>
      <c r="G291">
        <v>277.64</v>
      </c>
      <c r="H291">
        <v>46136</v>
      </c>
      <c r="I291">
        <v>46136</v>
      </c>
      <c r="J291" t="s">
        <v>20</v>
      </c>
      <c r="K291" t="s">
        <v>21</v>
      </c>
      <c r="L291" t="s">
        <v>28</v>
      </c>
      <c r="M291">
        <f t="shared" si="8"/>
        <v>25542.879999999997</v>
      </c>
      <c r="N291">
        <f t="shared" si="9"/>
        <v>34</v>
      </c>
      <c r="O291" t="str">
        <f ca="1">IFERROR((G291-_xludf.XLOOKUP(D291,Articles!A:A,Articles!D:D))/_xludf.XLOOKUP(D291,Articles!A:A,Articles!D:D),"")</f>
        <v/>
      </c>
      <c r="P291" t="s">
        <v>29</v>
      </c>
    </row>
    <row r="292" spans="1:16" x14ac:dyDescent="0.3">
      <c r="A292" t="s">
        <v>404</v>
      </c>
      <c r="B292">
        <v>46080</v>
      </c>
      <c r="C292" t="s">
        <v>80</v>
      </c>
      <c r="D292" t="s">
        <v>141</v>
      </c>
      <c r="E292" t="s">
        <v>27</v>
      </c>
      <c r="F292">
        <v>243</v>
      </c>
      <c r="G292">
        <v>210.8</v>
      </c>
      <c r="H292">
        <v>46119</v>
      </c>
      <c r="I292">
        <v>46130</v>
      </c>
      <c r="J292" t="s">
        <v>41</v>
      </c>
      <c r="K292" t="s">
        <v>21</v>
      </c>
      <c r="L292" t="s">
        <v>22</v>
      </c>
      <c r="M292">
        <f t="shared" si="8"/>
        <v>51224.4</v>
      </c>
      <c r="N292">
        <f t="shared" si="9"/>
        <v>50</v>
      </c>
      <c r="O292" t="str">
        <f ca="1">IFERROR((G292-_xludf.XLOOKUP(D292,Articles!A:A,Articles!D:D))/_xludf.XLOOKUP(D292,Articles!A:A,Articles!D:D),"")</f>
        <v/>
      </c>
      <c r="P292" t="s">
        <v>29</v>
      </c>
    </row>
    <row r="293" spans="1:16" x14ac:dyDescent="0.3">
      <c r="A293" t="s">
        <v>405</v>
      </c>
      <c r="B293">
        <v>45937</v>
      </c>
      <c r="C293" t="s">
        <v>72</v>
      </c>
      <c r="D293" t="s">
        <v>145</v>
      </c>
      <c r="E293" t="s">
        <v>56</v>
      </c>
      <c r="F293">
        <v>85</v>
      </c>
      <c r="G293">
        <v>358.02</v>
      </c>
      <c r="H293">
        <v>45960</v>
      </c>
      <c r="I293">
        <v>45962</v>
      </c>
      <c r="J293" t="s">
        <v>52</v>
      </c>
      <c r="K293" t="s">
        <v>21</v>
      </c>
      <c r="L293" t="s">
        <v>33</v>
      </c>
      <c r="M293">
        <f t="shared" si="8"/>
        <v>30431.699999999997</v>
      </c>
      <c r="N293">
        <f t="shared" si="9"/>
        <v>25</v>
      </c>
      <c r="O293" t="str">
        <f ca="1">IFERROR((G293-_xludf.XLOOKUP(D293,Articles!A:A,Articles!D:D))/_xludf.XLOOKUP(D293,Articles!A:A,Articles!D:D),"")</f>
        <v/>
      </c>
      <c r="P293" t="s">
        <v>29</v>
      </c>
    </row>
    <row r="294" spans="1:16" x14ac:dyDescent="0.3">
      <c r="A294" t="s">
        <v>406</v>
      </c>
      <c r="B294">
        <v>45968</v>
      </c>
      <c r="C294" t="s">
        <v>80</v>
      </c>
      <c r="D294" t="s">
        <v>150</v>
      </c>
      <c r="E294" t="s">
        <v>56</v>
      </c>
      <c r="F294">
        <v>54</v>
      </c>
      <c r="G294">
        <v>118.73</v>
      </c>
      <c r="H294">
        <v>46010</v>
      </c>
      <c r="I294">
        <v>46012</v>
      </c>
      <c r="J294" t="s">
        <v>20</v>
      </c>
      <c r="K294" t="s">
        <v>21</v>
      </c>
      <c r="L294" t="s">
        <v>48</v>
      </c>
      <c r="M294">
        <f t="shared" si="8"/>
        <v>6411.42</v>
      </c>
      <c r="N294">
        <f t="shared" si="9"/>
        <v>44</v>
      </c>
      <c r="O294" t="str">
        <f ca="1">IFERROR((G294-_xludf.XLOOKUP(D294,Articles!A:A,Articles!D:D))/_xludf.XLOOKUP(D294,Articles!A:A,Articles!D:D),"")</f>
        <v/>
      </c>
      <c r="P294" t="s">
        <v>29</v>
      </c>
    </row>
    <row r="295" spans="1:16" x14ac:dyDescent="0.3">
      <c r="A295" t="s">
        <v>407</v>
      </c>
      <c r="B295">
        <v>46088</v>
      </c>
      <c r="C295" t="s">
        <v>95</v>
      </c>
      <c r="D295" t="s">
        <v>202</v>
      </c>
      <c r="E295" t="s">
        <v>37</v>
      </c>
      <c r="F295">
        <v>108</v>
      </c>
      <c r="G295">
        <v>511.36</v>
      </c>
      <c r="H295">
        <v>46101</v>
      </c>
      <c r="I295">
        <v>46108</v>
      </c>
      <c r="J295" t="s">
        <v>62</v>
      </c>
      <c r="K295" t="s">
        <v>21</v>
      </c>
      <c r="L295" t="s">
        <v>48</v>
      </c>
      <c r="M295">
        <f t="shared" si="8"/>
        <v>55226.880000000005</v>
      </c>
      <c r="N295">
        <f t="shared" si="9"/>
        <v>20</v>
      </c>
      <c r="O295" t="str">
        <f ca="1">IFERROR((G295-_xludf.XLOOKUP(D295,Articles!A:A,Articles!D:D))/_xludf.XLOOKUP(D295,Articles!A:A,Articles!D:D),"")</f>
        <v/>
      </c>
      <c r="P295" t="s">
        <v>29</v>
      </c>
    </row>
    <row r="296" spans="1:16" x14ac:dyDescent="0.3">
      <c r="A296" t="s">
        <v>408</v>
      </c>
      <c r="B296">
        <v>46067</v>
      </c>
      <c r="C296" t="s">
        <v>75</v>
      </c>
      <c r="D296" t="s">
        <v>102</v>
      </c>
      <c r="E296" t="s">
        <v>19</v>
      </c>
      <c r="F296">
        <v>195</v>
      </c>
      <c r="G296">
        <v>304.54000000000002</v>
      </c>
      <c r="H296">
        <v>46125</v>
      </c>
      <c r="I296">
        <v>46150</v>
      </c>
      <c r="J296" t="s">
        <v>41</v>
      </c>
      <c r="K296" t="s">
        <v>21</v>
      </c>
      <c r="L296" t="s">
        <v>48</v>
      </c>
      <c r="M296">
        <f t="shared" si="8"/>
        <v>59385.3</v>
      </c>
      <c r="N296">
        <f t="shared" si="9"/>
        <v>83</v>
      </c>
      <c r="O296" t="str">
        <f ca="1">IFERROR((G296-_xludf.XLOOKUP(D296,Articles!A:A,Articles!D:D))/_xludf.XLOOKUP(D296,Articles!A:A,Articles!D:D),"")</f>
        <v/>
      </c>
      <c r="P296" t="s">
        <v>34</v>
      </c>
    </row>
    <row r="297" spans="1:16" x14ac:dyDescent="0.3">
      <c r="A297" t="s">
        <v>409</v>
      </c>
      <c r="B297">
        <v>45927</v>
      </c>
      <c r="C297" t="s">
        <v>67</v>
      </c>
      <c r="D297" t="s">
        <v>26</v>
      </c>
      <c r="E297" t="s">
        <v>56</v>
      </c>
      <c r="F297">
        <v>19</v>
      </c>
      <c r="G297">
        <v>382.46</v>
      </c>
      <c r="H297">
        <v>45951</v>
      </c>
      <c r="I297">
        <v>45951</v>
      </c>
      <c r="J297" t="s">
        <v>20</v>
      </c>
      <c r="K297" t="s">
        <v>21</v>
      </c>
      <c r="L297" t="s">
        <v>33</v>
      </c>
      <c r="M297">
        <f t="shared" si="8"/>
        <v>7266.74</v>
      </c>
      <c r="N297">
        <f t="shared" si="9"/>
        <v>24</v>
      </c>
      <c r="O297" t="str">
        <f ca="1">IFERROR((G297-_xludf.XLOOKUP(D297,Articles!A:A,Articles!D:D))/_xludf.XLOOKUP(D297,Articles!A:A,Articles!D:D),"")</f>
        <v/>
      </c>
      <c r="P297" t="s">
        <v>29</v>
      </c>
    </row>
    <row r="298" spans="1:16" x14ac:dyDescent="0.3">
      <c r="A298" t="s">
        <v>410</v>
      </c>
      <c r="B298">
        <v>46024</v>
      </c>
      <c r="C298" t="s">
        <v>25</v>
      </c>
      <c r="D298" t="s">
        <v>126</v>
      </c>
      <c r="E298" t="s">
        <v>56</v>
      </c>
      <c r="F298">
        <v>181</v>
      </c>
      <c r="G298">
        <v>273.22000000000003</v>
      </c>
      <c r="H298">
        <v>46061</v>
      </c>
      <c r="I298">
        <v>46061</v>
      </c>
      <c r="J298" t="s">
        <v>20</v>
      </c>
      <c r="K298" t="s">
        <v>21</v>
      </c>
      <c r="L298" t="s">
        <v>48</v>
      </c>
      <c r="M298">
        <f t="shared" si="8"/>
        <v>49452.820000000007</v>
      </c>
      <c r="N298">
        <f t="shared" si="9"/>
        <v>37</v>
      </c>
      <c r="O298" t="str">
        <f ca="1">IFERROR((G298-_xludf.XLOOKUP(D298,Articles!A:A,Articles!D:D))/_xludf.XLOOKUP(D298,Articles!A:A,Articles!D:D),"")</f>
        <v/>
      </c>
      <c r="P298" t="s">
        <v>29</v>
      </c>
    </row>
    <row r="299" spans="1:16" x14ac:dyDescent="0.3">
      <c r="A299" t="s">
        <v>411</v>
      </c>
      <c r="B299">
        <v>45949</v>
      </c>
      <c r="C299" t="s">
        <v>67</v>
      </c>
      <c r="D299" t="s">
        <v>130</v>
      </c>
      <c r="E299" t="s">
        <v>56</v>
      </c>
      <c r="F299">
        <v>105</v>
      </c>
      <c r="G299">
        <v>273.08</v>
      </c>
      <c r="H299">
        <v>45980</v>
      </c>
      <c r="I299">
        <v>45981</v>
      </c>
      <c r="J299" t="s">
        <v>20</v>
      </c>
      <c r="K299" t="s">
        <v>21</v>
      </c>
      <c r="L299" t="s">
        <v>48</v>
      </c>
      <c r="M299">
        <f t="shared" si="8"/>
        <v>28673.399999999998</v>
      </c>
      <c r="N299">
        <f t="shared" si="9"/>
        <v>32</v>
      </c>
      <c r="O299" t="str">
        <f ca="1">IFERROR((G299-_xludf.XLOOKUP(D299,Articles!A:A,Articles!D:D))/_xludf.XLOOKUP(D299,Articles!A:A,Articles!D:D),"")</f>
        <v/>
      </c>
      <c r="P299" t="s">
        <v>29</v>
      </c>
    </row>
    <row r="300" spans="1:16" x14ac:dyDescent="0.3">
      <c r="A300" t="s">
        <v>412</v>
      </c>
      <c r="B300">
        <v>46041</v>
      </c>
      <c r="C300" t="s">
        <v>75</v>
      </c>
      <c r="D300" t="s">
        <v>93</v>
      </c>
      <c r="E300" t="s">
        <v>37</v>
      </c>
      <c r="F300">
        <v>216</v>
      </c>
      <c r="G300">
        <v>396.26</v>
      </c>
      <c r="H300">
        <v>46059</v>
      </c>
      <c r="I300">
        <v>46061</v>
      </c>
      <c r="J300" t="s">
        <v>41</v>
      </c>
      <c r="K300" t="s">
        <v>21</v>
      </c>
      <c r="L300" t="s">
        <v>28</v>
      </c>
      <c r="M300">
        <f t="shared" si="8"/>
        <v>85592.16</v>
      </c>
      <c r="N300">
        <f t="shared" si="9"/>
        <v>20</v>
      </c>
      <c r="O300" t="str">
        <f ca="1">IFERROR((G300-_xludf.XLOOKUP(D300,Articles!A:A,Articles!D:D))/_xludf.XLOOKUP(D300,Articles!A:A,Articles!D:D),"")</f>
        <v/>
      </c>
      <c r="P300" t="s">
        <v>29</v>
      </c>
    </row>
    <row r="301" spans="1:16" x14ac:dyDescent="0.3">
      <c r="A301" t="s">
        <v>413</v>
      </c>
      <c r="B301">
        <v>45953</v>
      </c>
      <c r="C301" t="s">
        <v>80</v>
      </c>
      <c r="D301" t="s">
        <v>145</v>
      </c>
      <c r="E301" t="s">
        <v>37</v>
      </c>
      <c r="F301">
        <v>44</v>
      </c>
      <c r="G301">
        <v>245.01</v>
      </c>
      <c r="H301">
        <v>45974</v>
      </c>
      <c r="I301">
        <v>45981</v>
      </c>
      <c r="J301" t="s">
        <v>62</v>
      </c>
      <c r="K301" t="s">
        <v>21</v>
      </c>
      <c r="L301" t="s">
        <v>45</v>
      </c>
      <c r="M301">
        <f t="shared" si="8"/>
        <v>10780.439999999999</v>
      </c>
      <c r="N301">
        <f t="shared" si="9"/>
        <v>28</v>
      </c>
      <c r="O301" t="str">
        <f ca="1">IFERROR((G301-_xludf.XLOOKUP(D301,Articles!A:A,Articles!D:D))/_xludf.XLOOKUP(D301,Articles!A:A,Articles!D:D),"")</f>
        <v/>
      </c>
      <c r="P301" t="s">
        <v>29</v>
      </c>
    </row>
    <row r="302" spans="1:16" x14ac:dyDescent="0.3">
      <c r="A302" t="s">
        <v>414</v>
      </c>
      <c r="B302">
        <v>45924</v>
      </c>
      <c r="C302" t="s">
        <v>67</v>
      </c>
      <c r="D302" t="s">
        <v>47</v>
      </c>
      <c r="E302" t="s">
        <v>37</v>
      </c>
      <c r="F302">
        <v>165</v>
      </c>
      <c r="G302">
        <v>66.69</v>
      </c>
      <c r="H302">
        <v>45945</v>
      </c>
      <c r="J302" t="s">
        <v>62</v>
      </c>
      <c r="K302" t="s">
        <v>21</v>
      </c>
      <c r="L302" t="s">
        <v>48</v>
      </c>
      <c r="M302">
        <f t="shared" si="8"/>
        <v>11003.85</v>
      </c>
      <c r="N302" t="str">
        <f t="shared" si="9"/>
        <v/>
      </c>
      <c r="O302" t="str">
        <f ca="1">IFERROR((G302-_xludf.XLOOKUP(D302,Articles!A:A,Articles!D:D))/_xludf.XLOOKUP(D302,Articles!A:A,Articles!D:D),"")</f>
        <v/>
      </c>
      <c r="P302" t="s">
        <v>29</v>
      </c>
    </row>
    <row r="303" spans="1:16" x14ac:dyDescent="0.3">
      <c r="A303" t="s">
        <v>415</v>
      </c>
      <c r="B303">
        <v>46020</v>
      </c>
      <c r="C303" t="s">
        <v>95</v>
      </c>
      <c r="D303" t="s">
        <v>239</v>
      </c>
      <c r="E303" t="s">
        <v>56</v>
      </c>
      <c r="F303">
        <v>68</v>
      </c>
      <c r="G303">
        <v>303.70999999999998</v>
      </c>
      <c r="H303">
        <v>46077</v>
      </c>
      <c r="I303">
        <v>46074</v>
      </c>
      <c r="J303" t="s">
        <v>41</v>
      </c>
      <c r="K303" t="s">
        <v>21</v>
      </c>
      <c r="L303" t="s">
        <v>48</v>
      </c>
      <c r="M303">
        <f t="shared" si="8"/>
        <v>20652.28</v>
      </c>
      <c r="N303">
        <f t="shared" si="9"/>
        <v>54</v>
      </c>
      <c r="O303" t="str">
        <f ca="1">IFERROR((G303-_xludf.XLOOKUP(D303,Articles!A:A,Articles!D:D))/_xludf.XLOOKUP(D303,Articles!A:A,Articles!D:D),"")</f>
        <v/>
      </c>
      <c r="P303" t="s">
        <v>29</v>
      </c>
    </row>
    <row r="304" spans="1:16" x14ac:dyDescent="0.3">
      <c r="A304" t="s">
        <v>416</v>
      </c>
      <c r="B304">
        <v>46107</v>
      </c>
      <c r="C304" t="s">
        <v>64</v>
      </c>
      <c r="D304" t="s">
        <v>40</v>
      </c>
      <c r="E304" t="s">
        <v>37</v>
      </c>
      <c r="F304">
        <v>139</v>
      </c>
      <c r="G304">
        <v>120.27</v>
      </c>
      <c r="H304">
        <v>46156</v>
      </c>
      <c r="I304">
        <v>46156</v>
      </c>
      <c r="J304" t="s">
        <v>20</v>
      </c>
      <c r="K304" t="s">
        <v>21</v>
      </c>
      <c r="L304" t="s">
        <v>22</v>
      </c>
      <c r="M304">
        <f t="shared" si="8"/>
        <v>16717.53</v>
      </c>
      <c r="N304">
        <f t="shared" si="9"/>
        <v>49</v>
      </c>
      <c r="O304" t="str">
        <f ca="1">IFERROR((G304-_xludf.XLOOKUP(D304,Articles!A:A,Articles!D:D))/_xludf.XLOOKUP(D304,Articles!A:A,Articles!D:D),"")</f>
        <v/>
      </c>
      <c r="P304" t="s">
        <v>34</v>
      </c>
    </row>
    <row r="305" spans="1:16" x14ac:dyDescent="0.3">
      <c r="A305" t="s">
        <v>417</v>
      </c>
      <c r="B305">
        <v>46047</v>
      </c>
      <c r="C305" t="s">
        <v>72</v>
      </c>
      <c r="D305" t="s">
        <v>155</v>
      </c>
      <c r="E305" t="s">
        <v>56</v>
      </c>
      <c r="F305">
        <v>226</v>
      </c>
      <c r="G305">
        <v>148.04</v>
      </c>
      <c r="H305">
        <v>46104</v>
      </c>
      <c r="I305">
        <v>46103</v>
      </c>
      <c r="J305" t="s">
        <v>20</v>
      </c>
      <c r="K305" t="s">
        <v>21</v>
      </c>
      <c r="L305" t="s">
        <v>22</v>
      </c>
      <c r="M305">
        <f t="shared" si="8"/>
        <v>33457.040000000001</v>
      </c>
      <c r="N305">
        <f t="shared" si="9"/>
        <v>56</v>
      </c>
      <c r="O305" t="str">
        <f ca="1">IFERROR((G305-_xludf.XLOOKUP(D305,Articles!A:A,Articles!D:D))/_xludf.XLOOKUP(D305,Articles!A:A,Articles!D:D),"")</f>
        <v/>
      </c>
      <c r="P305" t="s">
        <v>34</v>
      </c>
    </row>
    <row r="306" spans="1:16" x14ac:dyDescent="0.3">
      <c r="A306" t="s">
        <v>418</v>
      </c>
      <c r="B306">
        <v>46105</v>
      </c>
      <c r="C306" t="s">
        <v>123</v>
      </c>
      <c r="D306" t="s">
        <v>112</v>
      </c>
      <c r="E306" t="s">
        <v>27</v>
      </c>
      <c r="F306">
        <v>147</v>
      </c>
      <c r="G306">
        <v>462.89</v>
      </c>
      <c r="H306">
        <v>46168</v>
      </c>
      <c r="I306">
        <v>46168</v>
      </c>
      <c r="J306" t="s">
        <v>41</v>
      </c>
      <c r="K306" t="s">
        <v>21</v>
      </c>
      <c r="L306" t="s">
        <v>28</v>
      </c>
      <c r="M306">
        <f t="shared" si="8"/>
        <v>68044.83</v>
      </c>
      <c r="N306">
        <f t="shared" si="9"/>
        <v>63</v>
      </c>
      <c r="O306" t="str">
        <f ca="1">IFERROR((G306-_xludf.XLOOKUP(D306,Articles!A:A,Articles!D:D))/_xludf.XLOOKUP(D306,Articles!A:A,Articles!D:D),"")</f>
        <v/>
      </c>
      <c r="P306" t="s">
        <v>34</v>
      </c>
    </row>
    <row r="307" spans="1:16" x14ac:dyDescent="0.3">
      <c r="A307" t="s">
        <v>419</v>
      </c>
      <c r="B307">
        <v>45933</v>
      </c>
      <c r="C307" t="s">
        <v>43</v>
      </c>
      <c r="D307" t="s">
        <v>36</v>
      </c>
      <c r="E307" t="s">
        <v>27</v>
      </c>
      <c r="F307">
        <v>11</v>
      </c>
      <c r="G307">
        <v>368.84</v>
      </c>
      <c r="H307">
        <v>45951</v>
      </c>
      <c r="I307">
        <v>45966</v>
      </c>
      <c r="J307" t="s">
        <v>41</v>
      </c>
      <c r="K307" t="s">
        <v>21</v>
      </c>
      <c r="L307" t="s">
        <v>22</v>
      </c>
      <c r="M307">
        <f t="shared" si="8"/>
        <v>4057.24</v>
      </c>
      <c r="N307">
        <f t="shared" si="9"/>
        <v>33</v>
      </c>
      <c r="O307" t="str">
        <f ca="1">IFERROR((G307-_xludf.XLOOKUP(D307,Articles!A:A,Articles!D:D))/_xludf.XLOOKUP(D307,Articles!A:A,Articles!D:D),"")</f>
        <v/>
      </c>
      <c r="P307" t="s">
        <v>34</v>
      </c>
    </row>
    <row r="308" spans="1:16" x14ac:dyDescent="0.3">
      <c r="A308" t="s">
        <v>420</v>
      </c>
      <c r="B308">
        <v>46087</v>
      </c>
      <c r="C308" t="s">
        <v>85</v>
      </c>
      <c r="D308" t="s">
        <v>239</v>
      </c>
      <c r="E308" t="s">
        <v>19</v>
      </c>
      <c r="F308">
        <v>235</v>
      </c>
      <c r="G308">
        <v>361.39</v>
      </c>
      <c r="H308">
        <v>46141</v>
      </c>
      <c r="I308">
        <v>46145</v>
      </c>
      <c r="J308" t="s">
        <v>20</v>
      </c>
      <c r="K308" t="s">
        <v>21</v>
      </c>
      <c r="L308" t="s">
        <v>22</v>
      </c>
      <c r="M308">
        <f t="shared" si="8"/>
        <v>84926.65</v>
      </c>
      <c r="N308">
        <f t="shared" si="9"/>
        <v>58</v>
      </c>
      <c r="O308" t="str">
        <f ca="1">IFERROR((G308-_xludf.XLOOKUP(D308,Articles!A:A,Articles!D:D))/_xludf.XLOOKUP(D308,Articles!A:A,Articles!D:D),"")</f>
        <v/>
      </c>
      <c r="P308" t="s">
        <v>23</v>
      </c>
    </row>
    <row r="309" spans="1:16" x14ac:dyDescent="0.3">
      <c r="A309" t="s">
        <v>421</v>
      </c>
      <c r="B309">
        <v>46102</v>
      </c>
      <c r="C309" t="s">
        <v>80</v>
      </c>
      <c r="D309" t="s">
        <v>377</v>
      </c>
      <c r="E309" t="s">
        <v>56</v>
      </c>
      <c r="F309">
        <v>180</v>
      </c>
      <c r="G309">
        <v>399.2</v>
      </c>
      <c r="H309">
        <v>46145</v>
      </c>
      <c r="I309">
        <v>46149</v>
      </c>
      <c r="J309" t="s">
        <v>41</v>
      </c>
      <c r="K309" t="s">
        <v>21</v>
      </c>
      <c r="L309" t="s">
        <v>48</v>
      </c>
      <c r="M309">
        <f t="shared" si="8"/>
        <v>71856</v>
      </c>
      <c r="N309">
        <f t="shared" si="9"/>
        <v>47</v>
      </c>
      <c r="O309" t="str">
        <f ca="1">IFERROR((G309-_xludf.XLOOKUP(D309,Articles!A:A,Articles!D:D))/_xludf.XLOOKUP(D309,Articles!A:A,Articles!D:D),"")</f>
        <v/>
      </c>
      <c r="P309" t="s">
        <v>29</v>
      </c>
    </row>
    <row r="310" spans="1:16" x14ac:dyDescent="0.3">
      <c r="A310" t="s">
        <v>422</v>
      </c>
      <c r="B310">
        <v>46102</v>
      </c>
      <c r="C310" t="s">
        <v>423</v>
      </c>
      <c r="D310" t="s">
        <v>112</v>
      </c>
      <c r="E310" t="s">
        <v>37</v>
      </c>
      <c r="F310">
        <v>74</v>
      </c>
      <c r="G310">
        <v>487.93</v>
      </c>
      <c r="H310">
        <v>46161</v>
      </c>
      <c r="I310">
        <v>46165</v>
      </c>
      <c r="J310" t="s">
        <v>20</v>
      </c>
      <c r="K310" t="s">
        <v>21</v>
      </c>
      <c r="L310" t="s">
        <v>48</v>
      </c>
      <c r="M310">
        <f t="shared" si="8"/>
        <v>36106.82</v>
      </c>
      <c r="N310">
        <f t="shared" si="9"/>
        <v>63</v>
      </c>
      <c r="O310" t="str">
        <f ca="1">IFERROR((G310-_xludf.XLOOKUP(D310,Articles!A:A,Articles!D:D))/_xludf.XLOOKUP(D310,Articles!A:A,Articles!D:D),"")</f>
        <v/>
      </c>
      <c r="P310" t="s">
        <v>29</v>
      </c>
    </row>
    <row r="311" spans="1:16" x14ac:dyDescent="0.3">
      <c r="A311" t="s">
        <v>424</v>
      </c>
      <c r="B311">
        <v>46004</v>
      </c>
      <c r="C311" t="s">
        <v>67</v>
      </c>
      <c r="D311" t="s">
        <v>141</v>
      </c>
      <c r="E311" t="s">
        <v>19</v>
      </c>
      <c r="F311">
        <v>37</v>
      </c>
      <c r="G311">
        <v>213.61</v>
      </c>
      <c r="H311">
        <v>46044</v>
      </c>
      <c r="I311">
        <v>46048</v>
      </c>
      <c r="J311" t="s">
        <v>41</v>
      </c>
      <c r="K311" t="s">
        <v>21</v>
      </c>
      <c r="L311" t="s">
        <v>28</v>
      </c>
      <c r="M311">
        <f t="shared" si="8"/>
        <v>7903.5700000000006</v>
      </c>
      <c r="N311">
        <f t="shared" si="9"/>
        <v>44</v>
      </c>
      <c r="O311" t="str">
        <f ca="1">IFERROR((G311-_xludf.XLOOKUP(D311,Articles!A:A,Articles!D:D))/_xludf.XLOOKUP(D311,Articles!A:A,Articles!D:D),"")</f>
        <v/>
      </c>
      <c r="P311" t="s">
        <v>34</v>
      </c>
    </row>
    <row r="312" spans="1:16" x14ac:dyDescent="0.3">
      <c r="A312" t="s">
        <v>425</v>
      </c>
      <c r="B312">
        <v>45969</v>
      </c>
      <c r="C312" t="s">
        <v>72</v>
      </c>
      <c r="D312" t="s">
        <v>61</v>
      </c>
      <c r="E312" t="s">
        <v>56</v>
      </c>
      <c r="F312">
        <v>230</v>
      </c>
      <c r="G312">
        <v>193.92</v>
      </c>
      <c r="H312">
        <v>46010</v>
      </c>
      <c r="J312" t="s">
        <v>20</v>
      </c>
      <c r="K312" t="s">
        <v>21</v>
      </c>
      <c r="L312" t="s">
        <v>28</v>
      </c>
      <c r="M312">
        <f t="shared" si="8"/>
        <v>44601.599999999999</v>
      </c>
      <c r="N312" t="str">
        <f t="shared" si="9"/>
        <v/>
      </c>
      <c r="O312" t="str">
        <f ca="1">IFERROR((G312-_xludf.XLOOKUP(D312,Articles!A:A,Articles!D:D))/_xludf.XLOOKUP(D312,Articles!A:A,Articles!D:D),"")</f>
        <v/>
      </c>
      <c r="P312" t="s">
        <v>34</v>
      </c>
    </row>
    <row r="313" spans="1:16" x14ac:dyDescent="0.3">
      <c r="A313" t="s">
        <v>426</v>
      </c>
      <c r="B313">
        <v>46091</v>
      </c>
      <c r="C313" t="s">
        <v>83</v>
      </c>
      <c r="D313" t="s">
        <v>206</v>
      </c>
      <c r="E313" t="s">
        <v>56</v>
      </c>
      <c r="F313">
        <v>114</v>
      </c>
      <c r="G313">
        <v>203.37</v>
      </c>
      <c r="H313">
        <v>46105</v>
      </c>
      <c r="I313">
        <v>46106</v>
      </c>
      <c r="J313" t="s">
        <v>20</v>
      </c>
      <c r="K313" t="s">
        <v>21</v>
      </c>
      <c r="L313" t="s">
        <v>28</v>
      </c>
      <c r="M313">
        <f t="shared" si="8"/>
        <v>23184.18</v>
      </c>
      <c r="N313">
        <f t="shared" si="9"/>
        <v>15</v>
      </c>
      <c r="O313" t="str">
        <f ca="1">IFERROR((G313-_xludf.XLOOKUP(D313,Articles!A:A,Articles!D:D))/_xludf.XLOOKUP(D313,Articles!A:A,Articles!D:D),"")</f>
        <v/>
      </c>
      <c r="P313" t="s">
        <v>29</v>
      </c>
    </row>
    <row r="314" spans="1:16" x14ac:dyDescent="0.3">
      <c r="A314" t="s">
        <v>427</v>
      </c>
      <c r="B314">
        <v>46111</v>
      </c>
      <c r="C314" t="s">
        <v>428</v>
      </c>
      <c r="D314" t="s">
        <v>150</v>
      </c>
      <c r="E314" t="s">
        <v>27</v>
      </c>
      <c r="F314">
        <v>105</v>
      </c>
      <c r="G314">
        <v>137.66</v>
      </c>
      <c r="H314">
        <v>46160</v>
      </c>
      <c r="I314">
        <v>46162</v>
      </c>
      <c r="J314" t="s">
        <v>62</v>
      </c>
      <c r="K314" t="s">
        <v>21</v>
      </c>
      <c r="L314" t="s">
        <v>48</v>
      </c>
      <c r="M314">
        <f t="shared" si="8"/>
        <v>14454.3</v>
      </c>
      <c r="N314">
        <f t="shared" si="9"/>
        <v>51</v>
      </c>
      <c r="O314" t="str">
        <f ca="1">IFERROR((G314-_xludf.XLOOKUP(D314,Articles!A:A,Articles!D:D))/_xludf.XLOOKUP(D314,Articles!A:A,Articles!D:D),"")</f>
        <v/>
      </c>
      <c r="P314" t="s">
        <v>29</v>
      </c>
    </row>
    <row r="315" spans="1:16" x14ac:dyDescent="0.3">
      <c r="A315" t="s">
        <v>429</v>
      </c>
      <c r="B315">
        <v>46004</v>
      </c>
      <c r="C315" t="s">
        <v>123</v>
      </c>
      <c r="D315" t="s">
        <v>121</v>
      </c>
      <c r="E315" t="s">
        <v>27</v>
      </c>
      <c r="F315">
        <v>35</v>
      </c>
      <c r="G315">
        <v>97.71</v>
      </c>
      <c r="H315">
        <v>46053</v>
      </c>
      <c r="I315">
        <v>46050</v>
      </c>
      <c r="J315" t="s">
        <v>41</v>
      </c>
      <c r="K315" t="s">
        <v>21</v>
      </c>
      <c r="L315" t="s">
        <v>48</v>
      </c>
      <c r="M315">
        <f t="shared" si="8"/>
        <v>3419.85</v>
      </c>
      <c r="N315">
        <f t="shared" si="9"/>
        <v>46</v>
      </c>
      <c r="O315" t="str">
        <f ca="1">IFERROR((G315-_xludf.XLOOKUP(D315,Articles!A:A,Articles!D:D))/_xludf.XLOOKUP(D315,Articles!A:A,Articles!D:D),"")</f>
        <v/>
      </c>
      <c r="P315" t="s">
        <v>34</v>
      </c>
    </row>
    <row r="316" spans="1:16" x14ac:dyDescent="0.3">
      <c r="A316" t="s">
        <v>430</v>
      </c>
      <c r="B316">
        <v>46017</v>
      </c>
      <c r="C316" t="s">
        <v>132</v>
      </c>
      <c r="D316" t="s">
        <v>76</v>
      </c>
      <c r="E316" t="s">
        <v>37</v>
      </c>
      <c r="F316">
        <v>13</v>
      </c>
      <c r="G316">
        <v>203.22</v>
      </c>
      <c r="H316">
        <v>46073</v>
      </c>
      <c r="I316">
        <v>46074</v>
      </c>
      <c r="J316" t="s">
        <v>20</v>
      </c>
      <c r="K316" t="s">
        <v>21</v>
      </c>
      <c r="L316" t="s">
        <v>48</v>
      </c>
      <c r="M316">
        <f t="shared" si="8"/>
        <v>2641.86</v>
      </c>
      <c r="N316">
        <f t="shared" si="9"/>
        <v>57</v>
      </c>
      <c r="O316" t="str">
        <f ca="1">IFERROR((G316-_xludf.XLOOKUP(D316,Articles!A:A,Articles!D:D))/_xludf.XLOOKUP(D316,Articles!A:A,Articles!D:D),"")</f>
        <v/>
      </c>
      <c r="P316" t="s">
        <v>29</v>
      </c>
    </row>
    <row r="317" spans="1:16" x14ac:dyDescent="0.3">
      <c r="A317" t="s">
        <v>431</v>
      </c>
      <c r="B317">
        <v>45962</v>
      </c>
      <c r="C317" t="s">
        <v>80</v>
      </c>
      <c r="D317" t="s">
        <v>155</v>
      </c>
      <c r="E317" t="s">
        <v>19</v>
      </c>
      <c r="F317">
        <v>96</v>
      </c>
      <c r="G317">
        <v>160.25</v>
      </c>
      <c r="H317">
        <v>46022</v>
      </c>
      <c r="I317">
        <v>46022</v>
      </c>
      <c r="J317" t="s">
        <v>52</v>
      </c>
      <c r="K317" t="s">
        <v>21</v>
      </c>
      <c r="L317" t="s">
        <v>33</v>
      </c>
      <c r="M317">
        <f t="shared" si="8"/>
        <v>15384</v>
      </c>
      <c r="N317">
        <f t="shared" si="9"/>
        <v>60</v>
      </c>
      <c r="O317" t="str">
        <f ca="1">IFERROR((G317-_xludf.XLOOKUP(D317,Articles!A:A,Articles!D:D))/_xludf.XLOOKUP(D317,Articles!A:A,Articles!D:D),"")</f>
        <v/>
      </c>
      <c r="P317" t="s">
        <v>29</v>
      </c>
    </row>
    <row r="318" spans="1:16" x14ac:dyDescent="0.3">
      <c r="A318" t="s">
        <v>432</v>
      </c>
      <c r="B318">
        <v>46092</v>
      </c>
      <c r="C318" t="s">
        <v>75</v>
      </c>
      <c r="D318" t="s">
        <v>186</v>
      </c>
      <c r="E318" t="s">
        <v>27</v>
      </c>
      <c r="F318">
        <v>213</v>
      </c>
      <c r="G318">
        <v>166.92</v>
      </c>
      <c r="H318">
        <v>46154</v>
      </c>
      <c r="I318">
        <v>46151</v>
      </c>
      <c r="J318" t="s">
        <v>20</v>
      </c>
      <c r="K318" t="s">
        <v>21</v>
      </c>
      <c r="L318" t="s">
        <v>28</v>
      </c>
      <c r="M318">
        <f t="shared" si="8"/>
        <v>35553.96</v>
      </c>
      <c r="N318">
        <f t="shared" si="9"/>
        <v>59</v>
      </c>
      <c r="O318" t="str">
        <f ca="1">IFERROR((G318-_xludf.XLOOKUP(D318,Articles!A:A,Articles!D:D))/_xludf.XLOOKUP(D318,Articles!A:A,Articles!D:D),"")</f>
        <v/>
      </c>
      <c r="P318" t="s">
        <v>29</v>
      </c>
    </row>
    <row r="319" spans="1:16" x14ac:dyDescent="0.3">
      <c r="A319" t="s">
        <v>433</v>
      </c>
      <c r="B319">
        <v>46074</v>
      </c>
      <c r="C319" t="s">
        <v>50</v>
      </c>
      <c r="D319" t="s">
        <v>222</v>
      </c>
      <c r="E319" t="s">
        <v>56</v>
      </c>
      <c r="F319">
        <v>53</v>
      </c>
      <c r="G319">
        <v>271.33</v>
      </c>
      <c r="H319">
        <v>46108</v>
      </c>
      <c r="I319">
        <v>46120</v>
      </c>
      <c r="J319" t="s">
        <v>41</v>
      </c>
      <c r="K319" t="s">
        <v>21</v>
      </c>
      <c r="L319" t="s">
        <v>45</v>
      </c>
      <c r="M319">
        <f t="shared" si="8"/>
        <v>14380.49</v>
      </c>
      <c r="N319">
        <f t="shared" si="9"/>
        <v>46</v>
      </c>
      <c r="O319" t="str">
        <f ca="1">IFERROR((G319-_xludf.XLOOKUP(D319,Articles!A:A,Articles!D:D))/_xludf.XLOOKUP(D319,Articles!A:A,Articles!D:D),"")</f>
        <v/>
      </c>
      <c r="P319" t="s">
        <v>34</v>
      </c>
    </row>
    <row r="320" spans="1:16" x14ac:dyDescent="0.3">
      <c r="A320" t="s">
        <v>434</v>
      </c>
      <c r="B320">
        <v>46054</v>
      </c>
      <c r="C320" t="s">
        <v>87</v>
      </c>
      <c r="D320" t="s">
        <v>206</v>
      </c>
      <c r="E320" t="s">
        <v>19</v>
      </c>
      <c r="F320">
        <v>206</v>
      </c>
      <c r="G320">
        <v>160.21</v>
      </c>
      <c r="H320">
        <v>46067</v>
      </c>
      <c r="I320">
        <v>46068</v>
      </c>
      <c r="J320" t="s">
        <v>20</v>
      </c>
      <c r="K320" t="s">
        <v>21</v>
      </c>
      <c r="L320" t="s">
        <v>45</v>
      </c>
      <c r="M320">
        <f t="shared" si="8"/>
        <v>33003.26</v>
      </c>
      <c r="N320">
        <f t="shared" si="9"/>
        <v>14</v>
      </c>
      <c r="O320" t="str">
        <f ca="1">IFERROR((G320-_xludf.XLOOKUP(D320,Articles!A:A,Articles!D:D))/_xludf.XLOOKUP(D320,Articles!A:A,Articles!D:D),"")</f>
        <v/>
      </c>
      <c r="P320" t="s">
        <v>29</v>
      </c>
    </row>
    <row r="321" spans="1:16" x14ac:dyDescent="0.3">
      <c r="A321" t="s">
        <v>435</v>
      </c>
      <c r="B321">
        <v>46018</v>
      </c>
      <c r="C321" t="s">
        <v>75</v>
      </c>
      <c r="D321" t="s">
        <v>202</v>
      </c>
      <c r="E321" t="s">
        <v>56</v>
      </c>
      <c r="F321">
        <v>65</v>
      </c>
      <c r="G321">
        <v>410.37</v>
      </c>
      <c r="H321">
        <v>46029</v>
      </c>
      <c r="I321">
        <v>46041</v>
      </c>
      <c r="J321" t="s">
        <v>62</v>
      </c>
      <c r="K321" t="s">
        <v>21</v>
      </c>
      <c r="L321" t="s">
        <v>48</v>
      </c>
      <c r="M321">
        <f t="shared" si="8"/>
        <v>26674.05</v>
      </c>
      <c r="N321">
        <f t="shared" si="9"/>
        <v>23</v>
      </c>
      <c r="O321" t="str">
        <f ca="1">IFERROR((G321-_xludf.XLOOKUP(D321,Articles!A:A,Articles!D:D))/_xludf.XLOOKUP(D321,Articles!A:A,Articles!D:D),"")</f>
        <v/>
      </c>
      <c r="P321" t="s">
        <v>29</v>
      </c>
    </row>
    <row r="322" spans="1:16" x14ac:dyDescent="0.3">
      <c r="A322" t="s">
        <v>436</v>
      </c>
      <c r="B322">
        <v>46044</v>
      </c>
      <c r="C322" t="s">
        <v>64</v>
      </c>
      <c r="D322" t="s">
        <v>54</v>
      </c>
      <c r="E322" t="s">
        <v>19</v>
      </c>
      <c r="F322">
        <v>166</v>
      </c>
      <c r="G322">
        <v>263.12</v>
      </c>
      <c r="H322">
        <v>46058</v>
      </c>
      <c r="I322">
        <v>46059</v>
      </c>
      <c r="J322" t="s">
        <v>20</v>
      </c>
      <c r="K322" t="s">
        <v>21</v>
      </c>
      <c r="L322" t="s">
        <v>33</v>
      </c>
      <c r="M322">
        <f t="shared" ref="M322:M385" si="10">F322*G322</f>
        <v>43677.919999999998</v>
      </c>
      <c r="N322">
        <f t="shared" ref="N322:N385" si="11">IF(I322="","",I322-B322)</f>
        <v>15</v>
      </c>
      <c r="O322" t="str">
        <f ca="1">IFERROR((G322-_xludf.XLOOKUP(D322,Articles!A:A,Articles!D:D))/_xludf.XLOOKUP(D322,Articles!A:A,Articles!D:D),"")</f>
        <v/>
      </c>
      <c r="P322" t="s">
        <v>29</v>
      </c>
    </row>
    <row r="323" spans="1:16" x14ac:dyDescent="0.3">
      <c r="A323" t="s">
        <v>437</v>
      </c>
      <c r="B323">
        <v>46121</v>
      </c>
      <c r="C323" t="s">
        <v>85</v>
      </c>
      <c r="D323" t="s">
        <v>100</v>
      </c>
      <c r="E323" t="s">
        <v>27</v>
      </c>
      <c r="F323">
        <v>71</v>
      </c>
      <c r="G323">
        <v>139.04</v>
      </c>
      <c r="H323">
        <v>46155</v>
      </c>
      <c r="I323">
        <v>46156</v>
      </c>
      <c r="J323" t="s">
        <v>41</v>
      </c>
      <c r="K323" t="s">
        <v>21</v>
      </c>
      <c r="L323" t="s">
        <v>48</v>
      </c>
      <c r="M323">
        <f t="shared" si="10"/>
        <v>9871.84</v>
      </c>
      <c r="N323">
        <f t="shared" si="11"/>
        <v>35</v>
      </c>
      <c r="O323" t="str">
        <f ca="1">IFERROR((G323-_xludf.XLOOKUP(D323,Articles!A:A,Articles!D:D))/_xludf.XLOOKUP(D323,Articles!A:A,Articles!D:D),"")</f>
        <v/>
      </c>
      <c r="P323" t="s">
        <v>29</v>
      </c>
    </row>
    <row r="324" spans="1:16" x14ac:dyDescent="0.3">
      <c r="A324" t="s">
        <v>438</v>
      </c>
      <c r="B324">
        <v>46070</v>
      </c>
      <c r="C324" t="s">
        <v>31</v>
      </c>
      <c r="D324" t="s">
        <v>126</v>
      </c>
      <c r="E324" t="s">
        <v>37</v>
      </c>
      <c r="F324">
        <v>82</v>
      </c>
      <c r="G324">
        <v>335.2</v>
      </c>
      <c r="H324">
        <v>46097</v>
      </c>
      <c r="I324">
        <v>46104</v>
      </c>
      <c r="J324" t="s">
        <v>52</v>
      </c>
      <c r="K324" t="s">
        <v>21</v>
      </c>
      <c r="L324" t="s">
        <v>45</v>
      </c>
      <c r="M324">
        <f t="shared" si="10"/>
        <v>27486.399999999998</v>
      </c>
      <c r="N324">
        <f t="shared" si="11"/>
        <v>34</v>
      </c>
      <c r="O324" t="str">
        <f ca="1">IFERROR((G324-_xludf.XLOOKUP(D324,Articles!A:A,Articles!D:D))/_xludf.XLOOKUP(D324,Articles!A:A,Articles!D:D),"")</f>
        <v/>
      </c>
      <c r="P324" t="s">
        <v>29</v>
      </c>
    </row>
    <row r="325" spans="1:16" x14ac:dyDescent="0.3">
      <c r="A325" t="s">
        <v>439</v>
      </c>
      <c r="B325">
        <v>46050</v>
      </c>
      <c r="C325" t="s">
        <v>132</v>
      </c>
      <c r="D325" t="s">
        <v>202</v>
      </c>
      <c r="E325" t="s">
        <v>37</v>
      </c>
      <c r="F325">
        <v>182</v>
      </c>
      <c r="G325">
        <v>514.79999999999995</v>
      </c>
      <c r="H325">
        <v>46060</v>
      </c>
      <c r="I325">
        <v>46062</v>
      </c>
      <c r="J325" t="s">
        <v>20</v>
      </c>
      <c r="K325" t="s">
        <v>21</v>
      </c>
      <c r="L325" t="s">
        <v>33</v>
      </c>
      <c r="M325">
        <f t="shared" si="10"/>
        <v>93693.599999999991</v>
      </c>
      <c r="N325">
        <f t="shared" si="11"/>
        <v>12</v>
      </c>
      <c r="O325" t="str">
        <f ca="1">IFERROR((G325-_xludf.XLOOKUP(D325,Articles!A:A,Articles!D:D))/_xludf.XLOOKUP(D325,Articles!A:A,Articles!D:D),"")</f>
        <v/>
      </c>
      <c r="P325" t="s">
        <v>29</v>
      </c>
    </row>
    <row r="326" spans="1:16" x14ac:dyDescent="0.3">
      <c r="A326" t="s">
        <v>440</v>
      </c>
      <c r="B326">
        <v>46117</v>
      </c>
      <c r="C326" t="s">
        <v>83</v>
      </c>
      <c r="D326" t="s">
        <v>54</v>
      </c>
      <c r="E326" t="s">
        <v>19</v>
      </c>
      <c r="F326">
        <v>44</v>
      </c>
      <c r="G326">
        <v>282.07</v>
      </c>
      <c r="H326">
        <v>46135</v>
      </c>
      <c r="I326">
        <v>46135</v>
      </c>
      <c r="J326" t="s">
        <v>20</v>
      </c>
      <c r="K326" t="s">
        <v>21</v>
      </c>
      <c r="L326" t="s">
        <v>22</v>
      </c>
      <c r="M326">
        <f t="shared" si="10"/>
        <v>12411.08</v>
      </c>
      <c r="N326">
        <f t="shared" si="11"/>
        <v>18</v>
      </c>
      <c r="O326" t="str">
        <f ca="1">IFERROR((G326-_xludf.XLOOKUP(D326,Articles!A:A,Articles!D:D))/_xludf.XLOOKUP(D326,Articles!A:A,Articles!D:D),"")</f>
        <v/>
      </c>
      <c r="P326" t="s">
        <v>29</v>
      </c>
    </row>
    <row r="327" spans="1:16" x14ac:dyDescent="0.3">
      <c r="A327" t="s">
        <v>441</v>
      </c>
      <c r="B327">
        <v>46068</v>
      </c>
      <c r="C327" t="s">
        <v>85</v>
      </c>
      <c r="D327" t="s">
        <v>141</v>
      </c>
      <c r="E327" t="s">
        <v>19</v>
      </c>
      <c r="F327">
        <v>23</v>
      </c>
      <c r="G327">
        <v>338.62</v>
      </c>
      <c r="H327">
        <v>46101</v>
      </c>
      <c r="I327">
        <v>46102</v>
      </c>
      <c r="J327" t="s">
        <v>20</v>
      </c>
      <c r="K327" t="s">
        <v>21</v>
      </c>
      <c r="L327" t="s">
        <v>33</v>
      </c>
      <c r="M327">
        <f t="shared" si="10"/>
        <v>7788.26</v>
      </c>
      <c r="N327">
        <f t="shared" si="11"/>
        <v>34</v>
      </c>
      <c r="O327" t="str">
        <f ca="1">IFERROR((G327-_xludf.XLOOKUP(D327,Articles!A:A,Articles!D:D))/_xludf.XLOOKUP(D327,Articles!A:A,Articles!D:D),"")</f>
        <v/>
      </c>
      <c r="P327" t="s">
        <v>34</v>
      </c>
    </row>
    <row r="328" spans="1:16" x14ac:dyDescent="0.3">
      <c r="A328" t="s">
        <v>442</v>
      </c>
      <c r="B328">
        <v>46019</v>
      </c>
      <c r="C328" t="s">
        <v>83</v>
      </c>
      <c r="D328" t="s">
        <v>81</v>
      </c>
      <c r="E328" t="s">
        <v>56</v>
      </c>
      <c r="F328">
        <v>218</v>
      </c>
      <c r="G328">
        <v>572.11</v>
      </c>
      <c r="H328">
        <v>46072</v>
      </c>
      <c r="I328">
        <v>46071</v>
      </c>
      <c r="J328" t="s">
        <v>20</v>
      </c>
      <c r="K328" t="s">
        <v>21</v>
      </c>
      <c r="L328" t="s">
        <v>45</v>
      </c>
      <c r="M328">
        <f t="shared" si="10"/>
        <v>124719.98</v>
      </c>
      <c r="N328">
        <f t="shared" si="11"/>
        <v>52</v>
      </c>
      <c r="O328" t="str">
        <f ca="1">IFERROR((G328-_xludf.XLOOKUP(D328,Articles!A:A,Articles!D:D))/_xludf.XLOOKUP(D328,Articles!A:A,Articles!D:D),"")</f>
        <v/>
      </c>
      <c r="P328" t="s">
        <v>29</v>
      </c>
    </row>
    <row r="329" spans="1:16" x14ac:dyDescent="0.3">
      <c r="A329" t="s">
        <v>443</v>
      </c>
      <c r="B329">
        <v>46006</v>
      </c>
      <c r="C329" t="s">
        <v>444</v>
      </c>
      <c r="D329" t="s">
        <v>317</v>
      </c>
      <c r="E329" t="s">
        <v>37</v>
      </c>
      <c r="F329">
        <v>14</v>
      </c>
      <c r="G329">
        <v>190.24</v>
      </c>
      <c r="H329">
        <v>46046</v>
      </c>
      <c r="I329">
        <v>46046</v>
      </c>
      <c r="J329" t="s">
        <v>52</v>
      </c>
      <c r="K329" t="s">
        <v>21</v>
      </c>
      <c r="L329" t="s">
        <v>28</v>
      </c>
      <c r="M329">
        <f t="shared" si="10"/>
        <v>2663.36</v>
      </c>
      <c r="N329">
        <f t="shared" si="11"/>
        <v>40</v>
      </c>
      <c r="O329" t="str">
        <f ca="1">IFERROR((G329-_xludf.XLOOKUP(D329,Articles!A:A,Articles!D:D))/_xludf.XLOOKUP(D329,Articles!A:A,Articles!D:D),"")</f>
        <v/>
      </c>
      <c r="P329" t="s">
        <v>29</v>
      </c>
    </row>
    <row r="330" spans="1:16" x14ac:dyDescent="0.3">
      <c r="A330" t="s">
        <v>445</v>
      </c>
      <c r="B330">
        <v>46100</v>
      </c>
      <c r="C330" t="s">
        <v>87</v>
      </c>
      <c r="D330" t="s">
        <v>26</v>
      </c>
      <c r="E330" t="s">
        <v>37</v>
      </c>
      <c r="F330">
        <v>21</v>
      </c>
      <c r="G330">
        <v>400.01</v>
      </c>
      <c r="H330">
        <v>46128</v>
      </c>
      <c r="I330">
        <v>46128</v>
      </c>
      <c r="J330" t="s">
        <v>20</v>
      </c>
      <c r="K330" t="s">
        <v>21</v>
      </c>
      <c r="L330" t="s">
        <v>33</v>
      </c>
      <c r="M330">
        <f t="shared" si="10"/>
        <v>8400.2099999999991</v>
      </c>
      <c r="N330">
        <f t="shared" si="11"/>
        <v>28</v>
      </c>
      <c r="O330" t="str">
        <f ca="1">IFERROR((G330-_xludf.XLOOKUP(D330,Articles!A:A,Articles!D:D))/_xludf.XLOOKUP(D330,Articles!A:A,Articles!D:D),"")</f>
        <v/>
      </c>
      <c r="P330" t="s">
        <v>29</v>
      </c>
    </row>
    <row r="331" spans="1:16" x14ac:dyDescent="0.3">
      <c r="A331" t="s">
        <v>446</v>
      </c>
      <c r="B331">
        <v>46048</v>
      </c>
      <c r="C331" t="s">
        <v>87</v>
      </c>
      <c r="D331" t="s">
        <v>36</v>
      </c>
      <c r="E331" t="s">
        <v>37</v>
      </c>
      <c r="F331">
        <v>196</v>
      </c>
      <c r="G331">
        <v>338.84</v>
      </c>
      <c r="H331">
        <v>46057</v>
      </c>
      <c r="I331">
        <v>46057</v>
      </c>
      <c r="J331" t="s">
        <v>20</v>
      </c>
      <c r="K331" t="s">
        <v>21</v>
      </c>
      <c r="L331" t="s">
        <v>45</v>
      </c>
      <c r="M331">
        <f t="shared" si="10"/>
        <v>66412.639999999999</v>
      </c>
      <c r="N331">
        <f t="shared" si="11"/>
        <v>9</v>
      </c>
      <c r="O331" t="str">
        <f ca="1">IFERROR((G331-_xludf.XLOOKUP(D331,Articles!A:A,Articles!D:D))/_xludf.XLOOKUP(D331,Articles!A:A,Articles!D:D),"")</f>
        <v/>
      </c>
      <c r="P331" t="s">
        <v>29</v>
      </c>
    </row>
    <row r="332" spans="1:16" x14ac:dyDescent="0.3">
      <c r="A332" t="s">
        <v>447</v>
      </c>
      <c r="B332">
        <v>45902</v>
      </c>
      <c r="C332" t="s">
        <v>31</v>
      </c>
      <c r="D332" t="s">
        <v>102</v>
      </c>
      <c r="E332" t="s">
        <v>27</v>
      </c>
      <c r="F332">
        <v>10</v>
      </c>
      <c r="G332">
        <v>291.27</v>
      </c>
      <c r="H332">
        <v>45963</v>
      </c>
      <c r="I332">
        <v>45960</v>
      </c>
      <c r="J332" t="s">
        <v>62</v>
      </c>
      <c r="K332" t="s">
        <v>21</v>
      </c>
      <c r="L332" t="s">
        <v>48</v>
      </c>
      <c r="M332">
        <f t="shared" si="10"/>
        <v>2912.7</v>
      </c>
      <c r="N332">
        <f t="shared" si="11"/>
        <v>58</v>
      </c>
      <c r="O332" t="str">
        <f ca="1">IFERROR((G332-_xludf.XLOOKUP(D332,Articles!A:A,Articles!D:D))/_xludf.XLOOKUP(D332,Articles!A:A,Articles!D:D),"")</f>
        <v/>
      </c>
      <c r="P332" t="s">
        <v>34</v>
      </c>
    </row>
    <row r="333" spans="1:16" x14ac:dyDescent="0.3">
      <c r="A333" t="s">
        <v>448</v>
      </c>
      <c r="B333">
        <v>46061</v>
      </c>
      <c r="C333" t="s">
        <v>95</v>
      </c>
      <c r="D333" t="s">
        <v>155</v>
      </c>
      <c r="E333" t="s">
        <v>19</v>
      </c>
      <c r="F333">
        <v>188</v>
      </c>
      <c r="G333">
        <v>148.66999999999999</v>
      </c>
      <c r="H333">
        <v>46119</v>
      </c>
      <c r="I333">
        <v>46120</v>
      </c>
      <c r="J333" t="s">
        <v>41</v>
      </c>
      <c r="K333" t="s">
        <v>21</v>
      </c>
      <c r="L333" t="s">
        <v>28</v>
      </c>
      <c r="M333">
        <f t="shared" si="10"/>
        <v>27949.96</v>
      </c>
      <c r="N333">
        <f t="shared" si="11"/>
        <v>59</v>
      </c>
      <c r="O333" t="str">
        <f ca="1">IFERROR((G333-_xludf.XLOOKUP(D333,Articles!A:A,Articles!D:D))/_xludf.XLOOKUP(D333,Articles!A:A,Articles!D:D),"")</f>
        <v/>
      </c>
      <c r="P333" t="s">
        <v>29</v>
      </c>
    </row>
    <row r="334" spans="1:16" x14ac:dyDescent="0.3">
      <c r="A334" t="s">
        <v>449</v>
      </c>
      <c r="B334">
        <v>45977</v>
      </c>
      <c r="C334" t="s">
        <v>132</v>
      </c>
      <c r="D334" t="s">
        <v>190</v>
      </c>
      <c r="E334" t="s">
        <v>27</v>
      </c>
      <c r="F334">
        <v>243</v>
      </c>
      <c r="G334">
        <v>147.55000000000001</v>
      </c>
      <c r="H334">
        <v>46025</v>
      </c>
      <c r="I334">
        <v>46037</v>
      </c>
      <c r="J334" t="s">
        <v>20</v>
      </c>
      <c r="K334" t="s">
        <v>21</v>
      </c>
      <c r="L334" t="s">
        <v>33</v>
      </c>
      <c r="M334">
        <f t="shared" si="10"/>
        <v>35854.65</v>
      </c>
      <c r="N334">
        <f t="shared" si="11"/>
        <v>60</v>
      </c>
      <c r="O334" t="str">
        <f ca="1">IFERROR((G334-_xludf.XLOOKUP(D334,Articles!A:A,Articles!D:D))/_xludf.XLOOKUP(D334,Articles!A:A,Articles!D:D),"")</f>
        <v/>
      </c>
      <c r="P334" t="s">
        <v>34</v>
      </c>
    </row>
    <row r="335" spans="1:16" x14ac:dyDescent="0.3">
      <c r="A335" t="s">
        <v>450</v>
      </c>
      <c r="B335">
        <v>46093</v>
      </c>
      <c r="C335" t="s">
        <v>64</v>
      </c>
      <c r="D335" t="s">
        <v>47</v>
      </c>
      <c r="E335" t="s">
        <v>27</v>
      </c>
      <c r="F335">
        <v>49</v>
      </c>
      <c r="G335">
        <v>59.2</v>
      </c>
      <c r="H335">
        <v>46118</v>
      </c>
      <c r="I335">
        <v>46141</v>
      </c>
      <c r="J335" t="s">
        <v>41</v>
      </c>
      <c r="K335" t="s">
        <v>21</v>
      </c>
      <c r="L335" t="s">
        <v>28</v>
      </c>
      <c r="M335">
        <f t="shared" si="10"/>
        <v>2900.8</v>
      </c>
      <c r="N335">
        <f t="shared" si="11"/>
        <v>48</v>
      </c>
      <c r="O335" t="str">
        <f ca="1">IFERROR((G335-_xludf.XLOOKUP(D335,Articles!A:A,Articles!D:D))/_xludf.XLOOKUP(D335,Articles!A:A,Articles!D:D),"")</f>
        <v/>
      </c>
      <c r="P335" t="s">
        <v>29</v>
      </c>
    </row>
    <row r="336" spans="1:16" x14ac:dyDescent="0.3">
      <c r="A336" t="s">
        <v>451</v>
      </c>
      <c r="B336">
        <v>46030</v>
      </c>
      <c r="C336" t="s">
        <v>95</v>
      </c>
      <c r="D336" t="s">
        <v>209</v>
      </c>
      <c r="E336" t="s">
        <v>56</v>
      </c>
      <c r="F336">
        <v>44</v>
      </c>
      <c r="G336">
        <v>222.63</v>
      </c>
      <c r="H336">
        <v>46059</v>
      </c>
      <c r="I336">
        <v>46056</v>
      </c>
      <c r="J336" t="s">
        <v>20</v>
      </c>
      <c r="K336" t="s">
        <v>21</v>
      </c>
      <c r="L336" t="s">
        <v>22</v>
      </c>
      <c r="M336">
        <f t="shared" si="10"/>
        <v>9795.7199999999993</v>
      </c>
      <c r="N336">
        <f t="shared" si="11"/>
        <v>26</v>
      </c>
      <c r="O336" t="str">
        <f ca="1">IFERROR((G336-_xludf.XLOOKUP(D336,Articles!A:A,Articles!D:D))/_xludf.XLOOKUP(D336,Articles!A:A,Articles!D:D),"")</f>
        <v/>
      </c>
      <c r="P336" t="s">
        <v>29</v>
      </c>
    </row>
    <row r="337" spans="1:16" x14ac:dyDescent="0.3">
      <c r="A337" t="s">
        <v>452</v>
      </c>
      <c r="B337">
        <v>46068</v>
      </c>
      <c r="C337" t="s">
        <v>25</v>
      </c>
      <c r="D337" t="s">
        <v>61</v>
      </c>
      <c r="E337" t="s">
        <v>19</v>
      </c>
      <c r="F337">
        <v>0</v>
      </c>
      <c r="G337">
        <v>172.59</v>
      </c>
      <c r="H337">
        <v>46105</v>
      </c>
      <c r="I337">
        <v>46109</v>
      </c>
      <c r="J337" t="s">
        <v>20</v>
      </c>
      <c r="K337" t="s">
        <v>21</v>
      </c>
      <c r="L337" t="s">
        <v>45</v>
      </c>
      <c r="M337">
        <f t="shared" si="10"/>
        <v>0</v>
      </c>
      <c r="N337">
        <f t="shared" si="11"/>
        <v>41</v>
      </c>
      <c r="O337" t="str">
        <f ca="1">IFERROR((G337-_xludf.XLOOKUP(D337,Articles!A:A,Articles!D:D))/_xludf.XLOOKUP(D337,Articles!A:A,Articles!D:D),"")</f>
        <v/>
      </c>
      <c r="P337" t="s">
        <v>29</v>
      </c>
    </row>
    <row r="338" spans="1:16" x14ac:dyDescent="0.3">
      <c r="A338" t="s">
        <v>453</v>
      </c>
      <c r="B338">
        <v>45953</v>
      </c>
      <c r="C338" t="s">
        <v>158</v>
      </c>
      <c r="D338" t="s">
        <v>454</v>
      </c>
      <c r="E338" t="s">
        <v>19</v>
      </c>
      <c r="F338">
        <v>178</v>
      </c>
      <c r="G338">
        <v>62.41</v>
      </c>
      <c r="H338">
        <v>45992</v>
      </c>
      <c r="I338">
        <v>45993</v>
      </c>
      <c r="J338" t="s">
        <v>20</v>
      </c>
      <c r="K338" t="s">
        <v>21</v>
      </c>
      <c r="L338" t="s">
        <v>22</v>
      </c>
      <c r="M338">
        <f t="shared" si="10"/>
        <v>11108.98</v>
      </c>
      <c r="N338">
        <f t="shared" si="11"/>
        <v>40</v>
      </c>
      <c r="O338" t="str">
        <f ca="1">IFERROR((G338-_xludf.XLOOKUP(D338,Articles!A:A,Articles!D:D))/_xludf.XLOOKUP(D338,Articles!A:A,Articles!D:D),"")</f>
        <v/>
      </c>
      <c r="P338" t="s">
        <v>29</v>
      </c>
    </row>
    <row r="339" spans="1:16" x14ac:dyDescent="0.3">
      <c r="A339" t="s">
        <v>455</v>
      </c>
      <c r="B339">
        <v>46008</v>
      </c>
      <c r="C339" t="s">
        <v>158</v>
      </c>
      <c r="D339" t="s">
        <v>126</v>
      </c>
      <c r="E339" t="s">
        <v>37</v>
      </c>
      <c r="F339">
        <v>213</v>
      </c>
      <c r="G339">
        <v>355.98</v>
      </c>
      <c r="H339">
        <v>46043</v>
      </c>
      <c r="I339">
        <v>46042</v>
      </c>
      <c r="J339" t="s">
        <v>20</v>
      </c>
      <c r="K339" t="s">
        <v>21</v>
      </c>
      <c r="L339" t="s">
        <v>28</v>
      </c>
      <c r="M339">
        <f t="shared" si="10"/>
        <v>75823.740000000005</v>
      </c>
      <c r="N339">
        <f t="shared" si="11"/>
        <v>34</v>
      </c>
      <c r="O339" t="str">
        <f ca="1">IFERROR((G339-_xludf.XLOOKUP(D339,Articles!A:A,Articles!D:D))/_xludf.XLOOKUP(D339,Articles!A:A,Articles!D:D),"")</f>
        <v/>
      </c>
      <c r="P339" t="s">
        <v>34</v>
      </c>
    </row>
    <row r="340" spans="1:16" x14ac:dyDescent="0.3">
      <c r="A340" t="s">
        <v>456</v>
      </c>
      <c r="B340">
        <v>46100</v>
      </c>
      <c r="C340" t="s">
        <v>43</v>
      </c>
      <c r="D340" t="s">
        <v>126</v>
      </c>
      <c r="E340" t="s">
        <v>56</v>
      </c>
      <c r="F340">
        <v>68</v>
      </c>
      <c r="G340">
        <v>349.58</v>
      </c>
      <c r="H340">
        <v>46130</v>
      </c>
      <c r="J340" t="s">
        <v>20</v>
      </c>
      <c r="K340" t="s">
        <v>21</v>
      </c>
      <c r="L340" t="s">
        <v>22</v>
      </c>
      <c r="M340">
        <f t="shared" si="10"/>
        <v>23771.439999999999</v>
      </c>
      <c r="N340" t="str">
        <f t="shared" si="11"/>
        <v/>
      </c>
      <c r="O340" t="str">
        <f ca="1">IFERROR((G340-_xludf.XLOOKUP(D340,Articles!A:A,Articles!D:D))/_xludf.XLOOKUP(D340,Articles!A:A,Articles!D:D),"")</f>
        <v/>
      </c>
      <c r="P340" t="s">
        <v>29</v>
      </c>
    </row>
    <row r="341" spans="1:16" x14ac:dyDescent="0.3">
      <c r="A341" t="s">
        <v>457</v>
      </c>
      <c r="B341">
        <v>46077</v>
      </c>
      <c r="C341" t="s">
        <v>43</v>
      </c>
      <c r="D341" t="s">
        <v>47</v>
      </c>
      <c r="E341" t="s">
        <v>56</v>
      </c>
      <c r="F341">
        <v>239</v>
      </c>
      <c r="G341">
        <v>65.44</v>
      </c>
      <c r="H341">
        <v>46099</v>
      </c>
      <c r="I341">
        <v>46096</v>
      </c>
      <c r="J341" t="s">
        <v>41</v>
      </c>
      <c r="K341" t="s">
        <v>21</v>
      </c>
      <c r="L341" t="s">
        <v>22</v>
      </c>
      <c r="M341">
        <f t="shared" si="10"/>
        <v>15640.16</v>
      </c>
      <c r="N341">
        <f t="shared" si="11"/>
        <v>19</v>
      </c>
      <c r="O341" t="str">
        <f ca="1">IFERROR((G341-_xludf.XLOOKUP(D341,Articles!A:A,Articles!D:D))/_xludf.XLOOKUP(D341,Articles!A:A,Articles!D:D),"")</f>
        <v/>
      </c>
      <c r="P341" t="s">
        <v>23</v>
      </c>
    </row>
    <row r="342" spans="1:16" x14ac:dyDescent="0.3">
      <c r="A342" t="s">
        <v>458</v>
      </c>
      <c r="B342">
        <v>45939</v>
      </c>
      <c r="C342" t="s">
        <v>95</v>
      </c>
      <c r="D342" t="s">
        <v>40</v>
      </c>
      <c r="E342" t="s">
        <v>19</v>
      </c>
      <c r="F342">
        <v>244</v>
      </c>
      <c r="G342">
        <v>108.28</v>
      </c>
      <c r="H342">
        <v>45987</v>
      </c>
      <c r="I342">
        <v>45986</v>
      </c>
      <c r="J342" t="s">
        <v>20</v>
      </c>
      <c r="K342" t="s">
        <v>21</v>
      </c>
      <c r="L342" t="s">
        <v>28</v>
      </c>
      <c r="M342">
        <f t="shared" si="10"/>
        <v>26420.32</v>
      </c>
      <c r="N342">
        <f t="shared" si="11"/>
        <v>47</v>
      </c>
      <c r="O342" t="str">
        <f ca="1">IFERROR((G342-_xludf.XLOOKUP(D342,Articles!A:A,Articles!D:D))/_xludf.XLOOKUP(D342,Articles!A:A,Articles!D:D),"")</f>
        <v/>
      </c>
      <c r="P342" t="s">
        <v>29</v>
      </c>
    </row>
    <row r="343" spans="1:16" x14ac:dyDescent="0.3">
      <c r="A343" t="s">
        <v>459</v>
      </c>
      <c r="B343">
        <v>45968</v>
      </c>
      <c r="C343" t="s">
        <v>83</v>
      </c>
      <c r="D343" t="s">
        <v>377</v>
      </c>
      <c r="E343" t="s">
        <v>19</v>
      </c>
      <c r="F343">
        <v>119</v>
      </c>
      <c r="G343">
        <v>333.03</v>
      </c>
      <c r="H343">
        <v>46005</v>
      </c>
      <c r="I343">
        <v>46013</v>
      </c>
      <c r="J343" t="s">
        <v>62</v>
      </c>
      <c r="K343" t="s">
        <v>21</v>
      </c>
      <c r="L343" t="s">
        <v>45</v>
      </c>
      <c r="M343">
        <f t="shared" si="10"/>
        <v>39630.57</v>
      </c>
      <c r="N343">
        <f t="shared" si="11"/>
        <v>45</v>
      </c>
      <c r="O343" t="str">
        <f ca="1">IFERROR((G343-_xludf.XLOOKUP(D343,Articles!A:A,Articles!D:D))/_xludf.XLOOKUP(D343,Articles!A:A,Articles!D:D),"")</f>
        <v/>
      </c>
      <c r="P343" t="s">
        <v>29</v>
      </c>
    </row>
    <row r="344" spans="1:16" x14ac:dyDescent="0.3">
      <c r="A344" t="s">
        <v>460</v>
      </c>
      <c r="B344">
        <v>46118</v>
      </c>
      <c r="C344" t="s">
        <v>67</v>
      </c>
      <c r="D344" t="s">
        <v>110</v>
      </c>
      <c r="E344" t="s">
        <v>19</v>
      </c>
      <c r="F344">
        <v>195</v>
      </c>
      <c r="G344">
        <v>470.85</v>
      </c>
      <c r="H344">
        <v>46157</v>
      </c>
      <c r="I344">
        <v>46157</v>
      </c>
      <c r="J344" t="s">
        <v>20</v>
      </c>
      <c r="K344" t="s">
        <v>21</v>
      </c>
      <c r="L344" t="s">
        <v>45</v>
      </c>
      <c r="M344">
        <f t="shared" si="10"/>
        <v>91815.75</v>
      </c>
      <c r="N344">
        <f t="shared" si="11"/>
        <v>39</v>
      </c>
      <c r="O344" t="str">
        <f ca="1">IFERROR((G344-_xludf.XLOOKUP(D344,Articles!A:A,Articles!D:D))/_xludf.XLOOKUP(D344,Articles!A:A,Articles!D:D),"")</f>
        <v/>
      </c>
      <c r="P344" t="s">
        <v>29</v>
      </c>
    </row>
    <row r="345" spans="1:16" x14ac:dyDescent="0.3">
      <c r="A345" t="s">
        <v>461</v>
      </c>
      <c r="B345">
        <v>46088</v>
      </c>
      <c r="C345" t="s">
        <v>67</v>
      </c>
      <c r="D345" t="s">
        <v>212</v>
      </c>
      <c r="E345" t="s">
        <v>37</v>
      </c>
      <c r="F345">
        <v>24</v>
      </c>
      <c r="G345">
        <v>398.14</v>
      </c>
      <c r="H345">
        <v>46118</v>
      </c>
      <c r="I345">
        <v>46118</v>
      </c>
      <c r="J345" t="s">
        <v>41</v>
      </c>
      <c r="K345" t="s">
        <v>21</v>
      </c>
      <c r="L345" t="s">
        <v>33</v>
      </c>
      <c r="M345">
        <f t="shared" si="10"/>
        <v>9555.36</v>
      </c>
      <c r="N345">
        <f t="shared" si="11"/>
        <v>30</v>
      </c>
      <c r="O345" t="str">
        <f ca="1">IFERROR((G345-_xludf.XLOOKUP(D345,Articles!A:A,Articles!D:D))/_xludf.XLOOKUP(D345,Articles!A:A,Articles!D:D),"")</f>
        <v/>
      </c>
      <c r="P345" t="s">
        <v>29</v>
      </c>
    </row>
    <row r="346" spans="1:16" x14ac:dyDescent="0.3">
      <c r="A346" t="s">
        <v>462</v>
      </c>
      <c r="B346">
        <v>46105</v>
      </c>
      <c r="C346" t="s">
        <v>463</v>
      </c>
      <c r="D346" t="s">
        <v>202</v>
      </c>
      <c r="E346" t="s">
        <v>27</v>
      </c>
      <c r="F346">
        <v>108</v>
      </c>
      <c r="G346">
        <v>468.29</v>
      </c>
      <c r="H346">
        <v>46114</v>
      </c>
      <c r="I346">
        <v>46113</v>
      </c>
      <c r="J346" t="s">
        <v>41</v>
      </c>
      <c r="K346" t="s">
        <v>21</v>
      </c>
      <c r="L346" t="s">
        <v>48</v>
      </c>
      <c r="M346">
        <f t="shared" si="10"/>
        <v>50575.32</v>
      </c>
      <c r="N346">
        <f t="shared" si="11"/>
        <v>8</v>
      </c>
      <c r="O346" t="str">
        <f ca="1">IFERROR((G346-_xludf.XLOOKUP(D346,Articles!A:A,Articles!D:D))/_xludf.XLOOKUP(D346,Articles!A:A,Articles!D:D),"")</f>
        <v/>
      </c>
      <c r="P346" t="s">
        <v>29</v>
      </c>
    </row>
    <row r="347" spans="1:16" x14ac:dyDescent="0.3">
      <c r="A347" t="s">
        <v>464</v>
      </c>
      <c r="B347">
        <v>46024</v>
      </c>
      <c r="C347" t="s">
        <v>75</v>
      </c>
      <c r="D347" t="s">
        <v>32</v>
      </c>
      <c r="E347" t="s">
        <v>56</v>
      </c>
      <c r="F347">
        <v>206</v>
      </c>
      <c r="G347">
        <v>253.23</v>
      </c>
      <c r="H347">
        <v>46053</v>
      </c>
      <c r="I347">
        <v>46074</v>
      </c>
      <c r="J347" t="s">
        <v>20</v>
      </c>
      <c r="K347" t="s">
        <v>21</v>
      </c>
      <c r="L347" t="s">
        <v>28</v>
      </c>
      <c r="M347">
        <f t="shared" si="10"/>
        <v>52165.38</v>
      </c>
      <c r="N347">
        <f t="shared" si="11"/>
        <v>50</v>
      </c>
      <c r="O347" t="str">
        <f ca="1">IFERROR((G347-_xludf.XLOOKUP(D347,Articles!A:A,Articles!D:D))/_xludf.XLOOKUP(D347,Articles!A:A,Articles!D:D),"")</f>
        <v/>
      </c>
      <c r="P347" t="s">
        <v>34</v>
      </c>
    </row>
    <row r="348" spans="1:16" x14ac:dyDescent="0.3">
      <c r="A348" t="s">
        <v>465</v>
      </c>
      <c r="B348">
        <v>45929</v>
      </c>
      <c r="C348" t="s">
        <v>72</v>
      </c>
      <c r="D348" t="s">
        <v>102</v>
      </c>
      <c r="E348" t="s">
        <v>27</v>
      </c>
      <c r="F348">
        <v>228</v>
      </c>
      <c r="G348">
        <v>280.68</v>
      </c>
      <c r="H348">
        <v>45985</v>
      </c>
      <c r="I348">
        <v>45984</v>
      </c>
      <c r="J348" t="s">
        <v>20</v>
      </c>
      <c r="K348" t="s">
        <v>21</v>
      </c>
      <c r="L348" t="s">
        <v>33</v>
      </c>
      <c r="M348">
        <f t="shared" si="10"/>
        <v>63995.040000000001</v>
      </c>
      <c r="N348">
        <f t="shared" si="11"/>
        <v>55</v>
      </c>
      <c r="O348" t="str">
        <f ca="1">IFERROR((G348-_xludf.XLOOKUP(D348,Articles!A:A,Articles!D:D))/_xludf.XLOOKUP(D348,Articles!A:A,Articles!D:D),"")</f>
        <v/>
      </c>
      <c r="P348" t="s">
        <v>23</v>
      </c>
    </row>
    <row r="349" spans="1:16" x14ac:dyDescent="0.3">
      <c r="A349" t="s">
        <v>466</v>
      </c>
      <c r="B349">
        <v>46077</v>
      </c>
      <c r="C349" t="s">
        <v>123</v>
      </c>
      <c r="D349" t="s">
        <v>317</v>
      </c>
      <c r="E349" t="s">
        <v>37</v>
      </c>
      <c r="F349">
        <v>180</v>
      </c>
      <c r="G349">
        <v>177.26</v>
      </c>
      <c r="H349">
        <v>46121</v>
      </c>
      <c r="J349" t="s">
        <v>20</v>
      </c>
      <c r="K349" t="s">
        <v>21</v>
      </c>
      <c r="L349" t="s">
        <v>28</v>
      </c>
      <c r="M349">
        <f t="shared" si="10"/>
        <v>31906.799999999999</v>
      </c>
      <c r="N349" t="str">
        <f t="shared" si="11"/>
        <v/>
      </c>
      <c r="O349" t="str">
        <f ca="1">IFERROR((G349-_xludf.XLOOKUP(D349,Articles!A:A,Articles!D:D))/_xludf.XLOOKUP(D349,Articles!A:A,Articles!D:D),"")</f>
        <v/>
      </c>
      <c r="P349" t="s">
        <v>29</v>
      </c>
    </row>
    <row r="350" spans="1:16" x14ac:dyDescent="0.3">
      <c r="A350" t="s">
        <v>467</v>
      </c>
      <c r="B350">
        <v>45914</v>
      </c>
      <c r="C350" t="s">
        <v>114</v>
      </c>
      <c r="D350" t="s">
        <v>51</v>
      </c>
      <c r="E350" t="s">
        <v>27</v>
      </c>
      <c r="F350">
        <v>3</v>
      </c>
      <c r="G350">
        <v>315.81</v>
      </c>
      <c r="H350">
        <v>45941</v>
      </c>
      <c r="I350">
        <v>45953</v>
      </c>
      <c r="J350" t="s">
        <v>62</v>
      </c>
      <c r="K350" t="s">
        <v>21</v>
      </c>
      <c r="L350" t="s">
        <v>48</v>
      </c>
      <c r="M350">
        <f t="shared" si="10"/>
        <v>947.43000000000006</v>
      </c>
      <c r="N350">
        <f t="shared" si="11"/>
        <v>39</v>
      </c>
      <c r="O350" t="str">
        <f ca="1">IFERROR((G350-_xludf.XLOOKUP(D350,Articles!A:A,Articles!D:D))/_xludf.XLOOKUP(D350,Articles!A:A,Articles!D:D),"")</f>
        <v/>
      </c>
      <c r="P350" t="s">
        <v>34</v>
      </c>
    </row>
    <row r="351" spans="1:16" x14ac:dyDescent="0.3">
      <c r="A351" t="s">
        <v>468</v>
      </c>
      <c r="B351">
        <v>45962</v>
      </c>
      <c r="C351" t="s">
        <v>85</v>
      </c>
      <c r="D351" t="s">
        <v>47</v>
      </c>
      <c r="E351" t="s">
        <v>37</v>
      </c>
      <c r="F351">
        <v>85</v>
      </c>
      <c r="G351">
        <v>83.27</v>
      </c>
      <c r="H351">
        <v>45981</v>
      </c>
      <c r="I351">
        <v>45993</v>
      </c>
      <c r="J351" t="s">
        <v>41</v>
      </c>
      <c r="K351" t="s">
        <v>21</v>
      </c>
      <c r="L351" t="s">
        <v>28</v>
      </c>
      <c r="M351">
        <f t="shared" si="10"/>
        <v>7077.95</v>
      </c>
      <c r="N351">
        <f t="shared" si="11"/>
        <v>31</v>
      </c>
      <c r="O351" t="str">
        <f ca="1">IFERROR((G351-_xludf.XLOOKUP(D351,Articles!A:A,Articles!D:D))/_xludf.XLOOKUP(D351,Articles!A:A,Articles!D:D),"")</f>
        <v/>
      </c>
      <c r="P351" t="s">
        <v>29</v>
      </c>
    </row>
    <row r="352" spans="1:16" x14ac:dyDescent="0.3">
      <c r="A352" t="s">
        <v>469</v>
      </c>
      <c r="B352">
        <v>46014</v>
      </c>
      <c r="C352" t="s">
        <v>95</v>
      </c>
      <c r="D352" t="s">
        <v>470</v>
      </c>
      <c r="E352" t="s">
        <v>37</v>
      </c>
      <c r="F352">
        <v>206</v>
      </c>
      <c r="G352">
        <v>293.24</v>
      </c>
      <c r="H352">
        <v>46032</v>
      </c>
      <c r="I352">
        <v>46039</v>
      </c>
      <c r="J352" t="s">
        <v>20</v>
      </c>
      <c r="K352" t="s">
        <v>21</v>
      </c>
      <c r="L352" t="s">
        <v>48</v>
      </c>
      <c r="M352">
        <f t="shared" si="10"/>
        <v>60407.44</v>
      </c>
      <c r="N352">
        <f t="shared" si="11"/>
        <v>25</v>
      </c>
      <c r="O352" t="str">
        <f ca="1">IFERROR((G352-_xludf.XLOOKUP(D352,Articles!A:A,Articles!D:D))/_xludf.XLOOKUP(D352,Articles!A:A,Articles!D:D),"")</f>
        <v/>
      </c>
      <c r="P352" t="s">
        <v>29</v>
      </c>
    </row>
    <row r="353" spans="1:16" x14ac:dyDescent="0.3">
      <c r="A353" t="s">
        <v>471</v>
      </c>
      <c r="B353">
        <v>46006</v>
      </c>
      <c r="C353" t="s">
        <v>31</v>
      </c>
      <c r="D353" t="s">
        <v>145</v>
      </c>
      <c r="E353" t="s">
        <v>19</v>
      </c>
      <c r="F353">
        <v>10</v>
      </c>
      <c r="G353">
        <v>239.29</v>
      </c>
      <c r="H353">
        <v>46026</v>
      </c>
      <c r="I353">
        <v>46025</v>
      </c>
      <c r="J353" t="s">
        <v>20</v>
      </c>
      <c r="K353" t="s">
        <v>21</v>
      </c>
      <c r="L353" t="s">
        <v>22</v>
      </c>
      <c r="M353">
        <f t="shared" si="10"/>
        <v>2392.9</v>
      </c>
      <c r="N353">
        <f t="shared" si="11"/>
        <v>19</v>
      </c>
      <c r="O353" t="str">
        <f ca="1">IFERROR((G353-_xludf.XLOOKUP(D353,Articles!A:A,Articles!D:D))/_xludf.XLOOKUP(D353,Articles!A:A,Articles!D:D),"")</f>
        <v/>
      </c>
      <c r="P353" t="s">
        <v>23</v>
      </c>
    </row>
    <row r="354" spans="1:16" x14ac:dyDescent="0.3">
      <c r="A354" t="s">
        <v>472</v>
      </c>
      <c r="B354">
        <v>46068</v>
      </c>
      <c r="C354" t="s">
        <v>43</v>
      </c>
      <c r="D354" t="s">
        <v>51</v>
      </c>
      <c r="E354" t="s">
        <v>37</v>
      </c>
      <c r="F354">
        <v>172</v>
      </c>
      <c r="G354">
        <v>298.8</v>
      </c>
      <c r="H354">
        <v>46098</v>
      </c>
      <c r="I354">
        <v>46100</v>
      </c>
      <c r="J354" t="s">
        <v>62</v>
      </c>
      <c r="K354" t="s">
        <v>21</v>
      </c>
      <c r="L354" t="s">
        <v>33</v>
      </c>
      <c r="M354">
        <f t="shared" si="10"/>
        <v>51393.599999999999</v>
      </c>
      <c r="N354">
        <f t="shared" si="11"/>
        <v>32</v>
      </c>
      <c r="O354" t="str">
        <f ca="1">IFERROR((G354-_xludf.XLOOKUP(D354,Articles!A:A,Articles!D:D))/_xludf.XLOOKUP(D354,Articles!A:A,Articles!D:D),"")</f>
        <v/>
      </c>
      <c r="P354" t="s">
        <v>34</v>
      </c>
    </row>
    <row r="355" spans="1:16" x14ac:dyDescent="0.3">
      <c r="A355" t="s">
        <v>473</v>
      </c>
      <c r="B355">
        <v>46054</v>
      </c>
      <c r="C355" t="s">
        <v>114</v>
      </c>
      <c r="D355" t="s">
        <v>51</v>
      </c>
      <c r="E355" t="s">
        <v>27</v>
      </c>
      <c r="F355">
        <v>122</v>
      </c>
      <c r="G355">
        <v>322.45999999999998</v>
      </c>
      <c r="H355">
        <v>46084</v>
      </c>
      <c r="I355">
        <v>46091</v>
      </c>
      <c r="J355" t="s">
        <v>41</v>
      </c>
      <c r="K355" t="s">
        <v>21</v>
      </c>
      <c r="L355" t="s">
        <v>48</v>
      </c>
      <c r="M355">
        <f t="shared" si="10"/>
        <v>39340.119999999995</v>
      </c>
      <c r="N355">
        <f t="shared" si="11"/>
        <v>37</v>
      </c>
      <c r="O355" t="str">
        <f ca="1">IFERROR((G355-_xludf.XLOOKUP(D355,Articles!A:A,Articles!D:D))/_xludf.XLOOKUP(D355,Articles!A:A,Articles!D:D),"")</f>
        <v/>
      </c>
      <c r="P355" t="s">
        <v>34</v>
      </c>
    </row>
    <row r="356" spans="1:16" x14ac:dyDescent="0.3">
      <c r="A356" t="s">
        <v>474</v>
      </c>
      <c r="B356">
        <v>46113</v>
      </c>
      <c r="C356" t="s">
        <v>64</v>
      </c>
      <c r="D356" t="s">
        <v>130</v>
      </c>
      <c r="E356" t="s">
        <v>56</v>
      </c>
      <c r="F356">
        <v>163</v>
      </c>
      <c r="G356">
        <v>293.75</v>
      </c>
      <c r="H356">
        <v>46140</v>
      </c>
      <c r="I356">
        <v>46152</v>
      </c>
      <c r="J356" t="s">
        <v>20</v>
      </c>
      <c r="K356" t="s">
        <v>21</v>
      </c>
      <c r="L356" t="s">
        <v>28</v>
      </c>
      <c r="M356">
        <f t="shared" si="10"/>
        <v>47881.25</v>
      </c>
      <c r="N356">
        <f t="shared" si="11"/>
        <v>39</v>
      </c>
      <c r="O356" t="str">
        <f ca="1">IFERROR((G356-_xludf.XLOOKUP(D356,Articles!A:A,Articles!D:D))/_xludf.XLOOKUP(D356,Articles!A:A,Articles!D:D),"")</f>
        <v/>
      </c>
      <c r="P356" t="s">
        <v>29</v>
      </c>
    </row>
    <row r="357" spans="1:16" x14ac:dyDescent="0.3">
      <c r="A357" t="s">
        <v>475</v>
      </c>
      <c r="B357">
        <v>46111</v>
      </c>
      <c r="C357" t="s">
        <v>158</v>
      </c>
      <c r="D357" t="s">
        <v>47</v>
      </c>
      <c r="E357" t="s">
        <v>56</v>
      </c>
      <c r="F357">
        <v>184</v>
      </c>
      <c r="G357">
        <v>70.61</v>
      </c>
      <c r="H357">
        <v>46136</v>
      </c>
      <c r="I357">
        <v>46135</v>
      </c>
      <c r="J357" t="s">
        <v>20</v>
      </c>
      <c r="K357" t="s">
        <v>21</v>
      </c>
      <c r="L357" t="s">
        <v>45</v>
      </c>
      <c r="M357">
        <f t="shared" si="10"/>
        <v>12992.24</v>
      </c>
      <c r="N357">
        <f t="shared" si="11"/>
        <v>24</v>
      </c>
      <c r="O357" t="str">
        <f ca="1">IFERROR((G357-_xludf.XLOOKUP(D357,Articles!A:A,Articles!D:D))/_xludf.XLOOKUP(D357,Articles!A:A,Articles!D:D),"")</f>
        <v/>
      </c>
      <c r="P357" t="s">
        <v>29</v>
      </c>
    </row>
    <row r="358" spans="1:16" x14ac:dyDescent="0.3">
      <c r="A358" t="s">
        <v>476</v>
      </c>
      <c r="B358">
        <v>46112</v>
      </c>
      <c r="C358" t="s">
        <v>95</v>
      </c>
      <c r="D358" t="s">
        <v>36</v>
      </c>
      <c r="E358" t="s">
        <v>56</v>
      </c>
      <c r="F358">
        <v>201</v>
      </c>
      <c r="G358">
        <v>342.48</v>
      </c>
      <c r="H358">
        <v>46125</v>
      </c>
      <c r="I358">
        <v>46124</v>
      </c>
      <c r="J358" t="s">
        <v>20</v>
      </c>
      <c r="K358" t="s">
        <v>21</v>
      </c>
      <c r="L358" t="s">
        <v>45</v>
      </c>
      <c r="M358">
        <f t="shared" si="10"/>
        <v>68838.48000000001</v>
      </c>
      <c r="N358">
        <f t="shared" si="11"/>
        <v>12</v>
      </c>
      <c r="O358" t="str">
        <f ca="1">IFERROR((G358-_xludf.XLOOKUP(D358,Articles!A:A,Articles!D:D))/_xludf.XLOOKUP(D358,Articles!A:A,Articles!D:D),"")</f>
        <v/>
      </c>
      <c r="P358" t="s">
        <v>29</v>
      </c>
    </row>
    <row r="359" spans="1:16" x14ac:dyDescent="0.3">
      <c r="A359" t="s">
        <v>477</v>
      </c>
      <c r="B359">
        <v>46030</v>
      </c>
      <c r="C359" t="s">
        <v>75</v>
      </c>
      <c r="D359" t="s">
        <v>377</v>
      </c>
      <c r="E359" t="s">
        <v>37</v>
      </c>
      <c r="F359">
        <v>35</v>
      </c>
      <c r="G359">
        <v>438.56</v>
      </c>
      <c r="H359">
        <v>46065</v>
      </c>
      <c r="I359">
        <v>46077</v>
      </c>
      <c r="J359" t="s">
        <v>20</v>
      </c>
      <c r="K359" t="s">
        <v>21</v>
      </c>
      <c r="L359" t="s">
        <v>22</v>
      </c>
      <c r="M359">
        <f t="shared" si="10"/>
        <v>15349.6</v>
      </c>
      <c r="N359">
        <f t="shared" si="11"/>
        <v>47</v>
      </c>
      <c r="O359" t="str">
        <f ca="1">IFERROR((G359-_xludf.XLOOKUP(D359,Articles!A:A,Articles!D:D))/_xludf.XLOOKUP(D359,Articles!A:A,Articles!D:D),"")</f>
        <v/>
      </c>
      <c r="P359" t="s">
        <v>29</v>
      </c>
    </row>
    <row r="360" spans="1:16" x14ac:dyDescent="0.3">
      <c r="A360" t="s">
        <v>478</v>
      </c>
      <c r="B360">
        <v>46100</v>
      </c>
      <c r="C360" t="s">
        <v>123</v>
      </c>
      <c r="D360" t="s">
        <v>102</v>
      </c>
      <c r="E360" t="s">
        <v>37</v>
      </c>
      <c r="F360">
        <v>236</v>
      </c>
      <c r="G360">
        <v>323.83</v>
      </c>
      <c r="H360">
        <v>46165</v>
      </c>
      <c r="I360">
        <v>46165</v>
      </c>
      <c r="J360" t="s">
        <v>20</v>
      </c>
      <c r="K360" t="s">
        <v>21</v>
      </c>
      <c r="L360" t="s">
        <v>22</v>
      </c>
      <c r="M360">
        <f t="shared" si="10"/>
        <v>76423.87999999999</v>
      </c>
      <c r="N360">
        <f t="shared" si="11"/>
        <v>65</v>
      </c>
      <c r="O360" t="str">
        <f ca="1">IFERROR((G360-_xludf.XLOOKUP(D360,Articles!A:A,Articles!D:D))/_xludf.XLOOKUP(D360,Articles!A:A,Articles!D:D),"")</f>
        <v/>
      </c>
      <c r="P360" t="s">
        <v>23</v>
      </c>
    </row>
    <row r="361" spans="1:16" x14ac:dyDescent="0.3">
      <c r="A361" t="s">
        <v>479</v>
      </c>
      <c r="B361">
        <v>46030</v>
      </c>
      <c r="C361" t="s">
        <v>85</v>
      </c>
      <c r="D361" t="s">
        <v>126</v>
      </c>
      <c r="E361" t="s">
        <v>19</v>
      </c>
      <c r="F361">
        <v>226</v>
      </c>
      <c r="G361">
        <v>511.1</v>
      </c>
      <c r="H361">
        <v>46066</v>
      </c>
      <c r="I361">
        <v>46066</v>
      </c>
      <c r="J361" t="s">
        <v>20</v>
      </c>
      <c r="K361" t="s">
        <v>21</v>
      </c>
      <c r="L361" t="s">
        <v>45</v>
      </c>
      <c r="M361">
        <f t="shared" si="10"/>
        <v>115508.6</v>
      </c>
      <c r="N361">
        <f t="shared" si="11"/>
        <v>36</v>
      </c>
      <c r="O361" t="str">
        <f ca="1">IFERROR((G361-_xludf.XLOOKUP(D361,Articles!A:A,Articles!D:D))/_xludf.XLOOKUP(D361,Articles!A:A,Articles!D:D),"")</f>
        <v/>
      </c>
      <c r="P361" t="s">
        <v>23</v>
      </c>
    </row>
    <row r="362" spans="1:16" x14ac:dyDescent="0.3">
      <c r="A362" t="s">
        <v>480</v>
      </c>
      <c r="B362">
        <v>46006</v>
      </c>
      <c r="C362" t="s">
        <v>158</v>
      </c>
      <c r="D362" t="s">
        <v>206</v>
      </c>
      <c r="E362" t="s">
        <v>19</v>
      </c>
      <c r="F362">
        <v>155</v>
      </c>
      <c r="G362">
        <v>199.2</v>
      </c>
      <c r="H362">
        <v>46023</v>
      </c>
      <c r="I362">
        <v>46024</v>
      </c>
      <c r="J362" t="s">
        <v>62</v>
      </c>
      <c r="K362" t="s">
        <v>21</v>
      </c>
      <c r="L362" t="s">
        <v>22</v>
      </c>
      <c r="M362">
        <f t="shared" si="10"/>
        <v>30876</v>
      </c>
      <c r="N362">
        <f t="shared" si="11"/>
        <v>18</v>
      </c>
      <c r="O362" t="str">
        <f ca="1">IFERROR((G362-_xludf.XLOOKUP(D362,Articles!A:A,Articles!D:D))/_xludf.XLOOKUP(D362,Articles!A:A,Articles!D:D),"")</f>
        <v/>
      </c>
      <c r="P362" t="s">
        <v>29</v>
      </c>
    </row>
    <row r="363" spans="1:16" x14ac:dyDescent="0.3">
      <c r="A363" t="s">
        <v>481</v>
      </c>
      <c r="B363">
        <v>45952</v>
      </c>
      <c r="C363" t="s">
        <v>43</v>
      </c>
      <c r="D363" t="s">
        <v>100</v>
      </c>
      <c r="E363" t="s">
        <v>27</v>
      </c>
      <c r="F363">
        <v>54</v>
      </c>
      <c r="G363">
        <v>96.84</v>
      </c>
      <c r="H363">
        <v>45980</v>
      </c>
      <c r="I363">
        <v>45982</v>
      </c>
      <c r="J363" t="s">
        <v>62</v>
      </c>
      <c r="K363" t="s">
        <v>21</v>
      </c>
      <c r="L363" t="s">
        <v>22</v>
      </c>
      <c r="M363">
        <f t="shared" si="10"/>
        <v>5229.3600000000006</v>
      </c>
      <c r="N363">
        <f t="shared" si="11"/>
        <v>30</v>
      </c>
      <c r="O363" t="str">
        <f ca="1">IFERROR((G363-_xludf.XLOOKUP(D363,Articles!A:A,Articles!D:D))/_xludf.XLOOKUP(D363,Articles!A:A,Articles!D:D),"")</f>
        <v/>
      </c>
      <c r="P363" t="s">
        <v>29</v>
      </c>
    </row>
    <row r="364" spans="1:16" x14ac:dyDescent="0.3">
      <c r="A364" t="s">
        <v>482</v>
      </c>
      <c r="B364">
        <v>46082</v>
      </c>
      <c r="C364" t="s">
        <v>85</v>
      </c>
      <c r="D364" t="s">
        <v>69</v>
      </c>
      <c r="E364" t="s">
        <v>37</v>
      </c>
      <c r="F364">
        <v>30</v>
      </c>
      <c r="G364">
        <v>182.42</v>
      </c>
      <c r="H364">
        <v>46143</v>
      </c>
      <c r="I364">
        <v>46150</v>
      </c>
      <c r="J364" t="s">
        <v>20</v>
      </c>
      <c r="K364" t="s">
        <v>21</v>
      </c>
      <c r="L364" t="s">
        <v>22</v>
      </c>
      <c r="M364">
        <f t="shared" si="10"/>
        <v>5472.5999999999995</v>
      </c>
      <c r="N364">
        <f t="shared" si="11"/>
        <v>68</v>
      </c>
      <c r="O364" t="str">
        <f ca="1">IFERROR((G364-_xludf.XLOOKUP(D364,Articles!A:A,Articles!D:D))/_xludf.XLOOKUP(D364,Articles!A:A,Articles!D:D),"")</f>
        <v/>
      </c>
      <c r="P364" t="s">
        <v>23</v>
      </c>
    </row>
    <row r="365" spans="1:16" x14ac:dyDescent="0.3">
      <c r="A365" t="s">
        <v>483</v>
      </c>
      <c r="B365">
        <v>46107</v>
      </c>
      <c r="C365" t="s">
        <v>17</v>
      </c>
      <c r="D365" t="s">
        <v>173</v>
      </c>
      <c r="E365" t="s">
        <v>27</v>
      </c>
      <c r="F365">
        <v>4</v>
      </c>
      <c r="G365">
        <v>220.23</v>
      </c>
      <c r="H365">
        <v>46164</v>
      </c>
      <c r="I365">
        <v>46168</v>
      </c>
      <c r="J365" t="s">
        <v>41</v>
      </c>
      <c r="K365" t="s">
        <v>21</v>
      </c>
      <c r="L365" t="s">
        <v>33</v>
      </c>
      <c r="M365">
        <f t="shared" si="10"/>
        <v>880.92</v>
      </c>
      <c r="N365">
        <f t="shared" si="11"/>
        <v>61</v>
      </c>
      <c r="O365" t="str">
        <f ca="1">IFERROR((G365-_xludf.XLOOKUP(D365,Articles!A:A,Articles!D:D))/_xludf.XLOOKUP(D365,Articles!A:A,Articles!D:D),"")</f>
        <v/>
      </c>
      <c r="P365" t="s">
        <v>29</v>
      </c>
    </row>
    <row r="366" spans="1:16" x14ac:dyDescent="0.3">
      <c r="A366" t="s">
        <v>484</v>
      </c>
      <c r="B366">
        <v>46075</v>
      </c>
      <c r="C366" t="s">
        <v>83</v>
      </c>
      <c r="D366" t="s">
        <v>186</v>
      </c>
      <c r="E366" t="s">
        <v>19</v>
      </c>
      <c r="F366">
        <v>65</v>
      </c>
      <c r="G366">
        <v>141.21</v>
      </c>
      <c r="H366">
        <v>46133</v>
      </c>
      <c r="I366">
        <v>46134</v>
      </c>
      <c r="J366" t="s">
        <v>41</v>
      </c>
      <c r="K366" t="s">
        <v>21</v>
      </c>
      <c r="L366" t="s">
        <v>45</v>
      </c>
      <c r="M366">
        <f t="shared" si="10"/>
        <v>9178.65</v>
      </c>
      <c r="N366">
        <f t="shared" si="11"/>
        <v>59</v>
      </c>
      <c r="O366" t="str">
        <f ca="1">IFERROR((G366-_xludf.XLOOKUP(D366,Articles!A:A,Articles!D:D))/_xludf.XLOOKUP(D366,Articles!A:A,Articles!D:D),"")</f>
        <v/>
      </c>
      <c r="P366" t="s">
        <v>29</v>
      </c>
    </row>
    <row r="367" spans="1:16" x14ac:dyDescent="0.3">
      <c r="A367" t="s">
        <v>485</v>
      </c>
      <c r="B367">
        <v>46073</v>
      </c>
      <c r="C367" t="s">
        <v>114</v>
      </c>
      <c r="D367" t="s">
        <v>145</v>
      </c>
      <c r="E367" t="s">
        <v>19</v>
      </c>
      <c r="F367">
        <v>190</v>
      </c>
      <c r="G367">
        <v>239.63</v>
      </c>
      <c r="H367">
        <v>46096</v>
      </c>
      <c r="I367">
        <v>46118</v>
      </c>
      <c r="J367" t="s">
        <v>20</v>
      </c>
      <c r="K367" t="s">
        <v>21</v>
      </c>
      <c r="L367" t="s">
        <v>48</v>
      </c>
      <c r="M367">
        <f t="shared" si="10"/>
        <v>45529.7</v>
      </c>
      <c r="N367">
        <f t="shared" si="11"/>
        <v>45</v>
      </c>
      <c r="O367" t="str">
        <f ca="1">IFERROR((G367-_xludf.XLOOKUP(D367,Articles!A:A,Articles!D:D))/_xludf.XLOOKUP(D367,Articles!A:A,Articles!D:D),"")</f>
        <v/>
      </c>
      <c r="P367" t="s">
        <v>29</v>
      </c>
    </row>
    <row r="368" spans="1:16" x14ac:dyDescent="0.3">
      <c r="A368" t="s">
        <v>486</v>
      </c>
      <c r="B368">
        <v>46007</v>
      </c>
      <c r="C368" t="s">
        <v>31</v>
      </c>
      <c r="D368" t="s">
        <v>202</v>
      </c>
      <c r="E368" t="s">
        <v>19</v>
      </c>
      <c r="F368">
        <v>245</v>
      </c>
      <c r="G368">
        <v>707.38</v>
      </c>
      <c r="H368">
        <v>46024</v>
      </c>
      <c r="I368">
        <v>46026</v>
      </c>
      <c r="J368" t="s">
        <v>52</v>
      </c>
      <c r="K368" t="s">
        <v>21</v>
      </c>
      <c r="L368" t="s">
        <v>28</v>
      </c>
      <c r="M368">
        <f t="shared" si="10"/>
        <v>173308.1</v>
      </c>
      <c r="N368">
        <f t="shared" si="11"/>
        <v>19</v>
      </c>
      <c r="O368" t="str">
        <f ca="1">IFERROR((G368-_xludf.XLOOKUP(D368,Articles!A:A,Articles!D:D))/_xludf.XLOOKUP(D368,Articles!A:A,Articles!D:D),"")</f>
        <v/>
      </c>
      <c r="P368" t="s">
        <v>29</v>
      </c>
    </row>
    <row r="369" spans="1:16" x14ac:dyDescent="0.3">
      <c r="A369" t="s">
        <v>487</v>
      </c>
      <c r="B369">
        <v>46113</v>
      </c>
      <c r="C369" t="s">
        <v>95</v>
      </c>
      <c r="D369" t="s">
        <v>212</v>
      </c>
      <c r="E369" t="s">
        <v>27</v>
      </c>
      <c r="F369">
        <v>58</v>
      </c>
      <c r="G369">
        <v>465.06</v>
      </c>
      <c r="H369">
        <v>46148</v>
      </c>
      <c r="I369">
        <v>46150</v>
      </c>
      <c r="J369" t="s">
        <v>20</v>
      </c>
      <c r="K369" t="s">
        <v>21</v>
      </c>
      <c r="L369" t="s">
        <v>28</v>
      </c>
      <c r="M369">
        <f t="shared" si="10"/>
        <v>26973.48</v>
      </c>
      <c r="N369">
        <f t="shared" si="11"/>
        <v>37</v>
      </c>
      <c r="O369" t="str">
        <f ca="1">IFERROR((G369-_xludf.XLOOKUP(D369,Articles!A:A,Articles!D:D))/_xludf.XLOOKUP(D369,Articles!A:A,Articles!D:D),"")</f>
        <v/>
      </c>
      <c r="P369" t="s">
        <v>29</v>
      </c>
    </row>
    <row r="370" spans="1:16" x14ac:dyDescent="0.3">
      <c r="A370" t="s">
        <v>488</v>
      </c>
      <c r="B370">
        <v>45946</v>
      </c>
      <c r="C370" t="s">
        <v>95</v>
      </c>
      <c r="D370" t="s">
        <v>173</v>
      </c>
      <c r="E370" t="s">
        <v>19</v>
      </c>
      <c r="F370">
        <v>175</v>
      </c>
      <c r="G370">
        <v>190.82</v>
      </c>
      <c r="H370">
        <v>46005</v>
      </c>
      <c r="I370">
        <v>46017</v>
      </c>
      <c r="J370" t="s">
        <v>41</v>
      </c>
      <c r="K370" t="s">
        <v>21</v>
      </c>
      <c r="L370" t="s">
        <v>22</v>
      </c>
      <c r="M370">
        <f t="shared" si="10"/>
        <v>33393.5</v>
      </c>
      <c r="N370">
        <f t="shared" si="11"/>
        <v>71</v>
      </c>
      <c r="O370" t="str">
        <f ca="1">IFERROR((G370-_xludf.XLOOKUP(D370,Articles!A:A,Articles!D:D))/_xludf.XLOOKUP(D370,Articles!A:A,Articles!D:D),"")</f>
        <v/>
      </c>
      <c r="P370" t="s">
        <v>29</v>
      </c>
    </row>
    <row r="371" spans="1:16" x14ac:dyDescent="0.3">
      <c r="A371" t="s">
        <v>489</v>
      </c>
      <c r="B371">
        <v>45942</v>
      </c>
      <c r="C371" t="s">
        <v>158</v>
      </c>
      <c r="D371" t="s">
        <v>239</v>
      </c>
      <c r="E371" t="s">
        <v>56</v>
      </c>
      <c r="F371">
        <v>150</v>
      </c>
      <c r="G371">
        <v>365.23</v>
      </c>
      <c r="H371">
        <v>45995</v>
      </c>
      <c r="I371">
        <v>45997</v>
      </c>
      <c r="J371" t="s">
        <v>20</v>
      </c>
      <c r="K371" t="s">
        <v>21</v>
      </c>
      <c r="L371" t="s">
        <v>28</v>
      </c>
      <c r="M371">
        <f t="shared" si="10"/>
        <v>54784.5</v>
      </c>
      <c r="N371">
        <f t="shared" si="11"/>
        <v>55</v>
      </c>
      <c r="O371" t="str">
        <f ca="1">IFERROR((G371-_xludf.XLOOKUP(D371,Articles!A:A,Articles!D:D))/_xludf.XLOOKUP(D371,Articles!A:A,Articles!D:D),"")</f>
        <v/>
      </c>
      <c r="P371" t="s">
        <v>23</v>
      </c>
    </row>
    <row r="372" spans="1:16" x14ac:dyDescent="0.3">
      <c r="A372" t="s">
        <v>490</v>
      </c>
      <c r="B372">
        <v>45914</v>
      </c>
      <c r="C372" t="s">
        <v>114</v>
      </c>
      <c r="D372" t="s">
        <v>26</v>
      </c>
      <c r="E372" t="s">
        <v>19</v>
      </c>
      <c r="F372">
        <v>199</v>
      </c>
      <c r="G372">
        <v>453.59</v>
      </c>
      <c r="H372">
        <v>45941</v>
      </c>
      <c r="I372">
        <v>45963</v>
      </c>
      <c r="J372" t="s">
        <v>20</v>
      </c>
      <c r="K372" t="s">
        <v>21</v>
      </c>
      <c r="L372" t="s">
        <v>48</v>
      </c>
      <c r="M372">
        <f t="shared" si="10"/>
        <v>90264.409999999989</v>
      </c>
      <c r="N372">
        <f t="shared" si="11"/>
        <v>49</v>
      </c>
      <c r="O372" t="str">
        <f ca="1">IFERROR((G372-_xludf.XLOOKUP(D372,Articles!A:A,Articles!D:D))/_xludf.XLOOKUP(D372,Articles!A:A,Articles!D:D),"")</f>
        <v/>
      </c>
      <c r="P372" t="s">
        <v>29</v>
      </c>
    </row>
    <row r="373" spans="1:16" x14ac:dyDescent="0.3">
      <c r="A373" t="s">
        <v>491</v>
      </c>
      <c r="B373">
        <v>45957</v>
      </c>
      <c r="C373" t="s">
        <v>123</v>
      </c>
      <c r="D373" t="s">
        <v>26</v>
      </c>
      <c r="E373" t="s">
        <v>37</v>
      </c>
      <c r="F373">
        <v>245</v>
      </c>
      <c r="G373">
        <v>363.43</v>
      </c>
      <c r="H373">
        <v>45976</v>
      </c>
      <c r="I373">
        <v>45988</v>
      </c>
      <c r="J373" t="s">
        <v>41</v>
      </c>
      <c r="K373" t="s">
        <v>21</v>
      </c>
      <c r="L373" t="s">
        <v>48</v>
      </c>
      <c r="M373">
        <f t="shared" si="10"/>
        <v>89040.35</v>
      </c>
      <c r="N373">
        <f t="shared" si="11"/>
        <v>31</v>
      </c>
      <c r="O373" t="str">
        <f ca="1">IFERROR((G373-_xludf.XLOOKUP(D373,Articles!A:A,Articles!D:D))/_xludf.XLOOKUP(D373,Articles!A:A,Articles!D:D),"")</f>
        <v/>
      </c>
      <c r="P373" t="s">
        <v>29</v>
      </c>
    </row>
    <row r="374" spans="1:16" x14ac:dyDescent="0.3">
      <c r="A374" t="s">
        <v>492</v>
      </c>
      <c r="B374">
        <v>45955</v>
      </c>
      <c r="C374" t="s">
        <v>50</v>
      </c>
      <c r="D374" t="s">
        <v>148</v>
      </c>
      <c r="E374" t="s">
        <v>37</v>
      </c>
      <c r="F374">
        <v>-5</v>
      </c>
      <c r="G374">
        <v>107.78</v>
      </c>
      <c r="H374">
        <v>45988</v>
      </c>
      <c r="I374">
        <v>45989</v>
      </c>
      <c r="J374" t="s">
        <v>41</v>
      </c>
      <c r="K374" t="s">
        <v>21</v>
      </c>
      <c r="L374" t="s">
        <v>22</v>
      </c>
      <c r="M374">
        <f t="shared" si="10"/>
        <v>-538.9</v>
      </c>
      <c r="N374">
        <f t="shared" si="11"/>
        <v>34</v>
      </c>
      <c r="O374" t="str">
        <f ca="1">IFERROR((G374-_xludf.XLOOKUP(D374,Articles!A:A,Articles!D:D))/_xludf.XLOOKUP(D374,Articles!A:A,Articles!D:D),"")</f>
        <v/>
      </c>
      <c r="P374" t="s">
        <v>34</v>
      </c>
    </row>
    <row r="375" spans="1:16" x14ac:dyDescent="0.3">
      <c r="A375" t="s">
        <v>493</v>
      </c>
      <c r="B375">
        <v>45930</v>
      </c>
      <c r="C375" t="s">
        <v>67</v>
      </c>
      <c r="D375" t="s">
        <v>222</v>
      </c>
      <c r="E375" t="s">
        <v>19</v>
      </c>
      <c r="F375">
        <v>172</v>
      </c>
      <c r="G375">
        <v>278.06</v>
      </c>
      <c r="H375">
        <v>45961</v>
      </c>
      <c r="I375">
        <v>45961</v>
      </c>
      <c r="J375" t="s">
        <v>52</v>
      </c>
      <c r="K375" t="s">
        <v>21</v>
      </c>
      <c r="L375" t="s">
        <v>45</v>
      </c>
      <c r="M375">
        <f t="shared" si="10"/>
        <v>47826.32</v>
      </c>
      <c r="N375">
        <f t="shared" si="11"/>
        <v>31</v>
      </c>
      <c r="O375" t="str">
        <f ca="1">IFERROR((G375-_xludf.XLOOKUP(D375,Articles!A:A,Articles!D:D))/_xludf.XLOOKUP(D375,Articles!A:A,Articles!D:D),"")</f>
        <v/>
      </c>
      <c r="P375" t="s">
        <v>29</v>
      </c>
    </row>
    <row r="376" spans="1:16" x14ac:dyDescent="0.3">
      <c r="A376" t="s">
        <v>494</v>
      </c>
      <c r="B376">
        <v>45966</v>
      </c>
      <c r="C376" t="s">
        <v>31</v>
      </c>
      <c r="D376" t="s">
        <v>110</v>
      </c>
      <c r="E376" t="s">
        <v>37</v>
      </c>
      <c r="F376">
        <v>139</v>
      </c>
      <c r="G376">
        <v>528.83000000000004</v>
      </c>
      <c r="H376">
        <v>46005</v>
      </c>
      <c r="I376">
        <v>46017</v>
      </c>
      <c r="J376" t="s">
        <v>62</v>
      </c>
      <c r="K376" t="s">
        <v>21</v>
      </c>
      <c r="L376" t="s">
        <v>45</v>
      </c>
      <c r="M376">
        <f t="shared" si="10"/>
        <v>73507.37000000001</v>
      </c>
      <c r="N376">
        <f t="shared" si="11"/>
        <v>51</v>
      </c>
      <c r="O376" t="str">
        <f ca="1">IFERROR((G376-_xludf.XLOOKUP(D376,Articles!A:A,Articles!D:D))/_xludf.XLOOKUP(D376,Articles!A:A,Articles!D:D),"")</f>
        <v/>
      </c>
      <c r="P376" t="s">
        <v>29</v>
      </c>
    </row>
    <row r="377" spans="1:16" x14ac:dyDescent="0.3">
      <c r="A377" t="s">
        <v>495</v>
      </c>
      <c r="B377">
        <v>46067</v>
      </c>
      <c r="C377" t="s">
        <v>83</v>
      </c>
      <c r="D377" t="s">
        <v>18</v>
      </c>
      <c r="E377" t="s">
        <v>56</v>
      </c>
      <c r="F377">
        <v>50</v>
      </c>
      <c r="G377">
        <v>296.05</v>
      </c>
      <c r="H377">
        <v>46116</v>
      </c>
      <c r="I377">
        <v>46115</v>
      </c>
      <c r="J377" t="s">
        <v>41</v>
      </c>
      <c r="K377" t="s">
        <v>21</v>
      </c>
      <c r="L377" t="s">
        <v>48</v>
      </c>
      <c r="M377">
        <f t="shared" si="10"/>
        <v>14802.5</v>
      </c>
      <c r="N377">
        <f t="shared" si="11"/>
        <v>48</v>
      </c>
      <c r="O377" t="str">
        <f ca="1">IFERROR((G377-_xludf.XLOOKUP(D377,Articles!A:A,Articles!D:D))/_xludf.XLOOKUP(D377,Articles!A:A,Articles!D:D),"")</f>
        <v/>
      </c>
      <c r="P377" t="s">
        <v>23</v>
      </c>
    </row>
    <row r="378" spans="1:16" x14ac:dyDescent="0.3">
      <c r="A378" t="s">
        <v>496</v>
      </c>
      <c r="B378">
        <v>46076</v>
      </c>
      <c r="C378" t="s">
        <v>43</v>
      </c>
      <c r="D378" t="s">
        <v>36</v>
      </c>
      <c r="E378" t="s">
        <v>37</v>
      </c>
      <c r="F378">
        <v>109</v>
      </c>
      <c r="G378">
        <v>415.54</v>
      </c>
      <c r="H378">
        <v>46087</v>
      </c>
      <c r="I378">
        <v>46099</v>
      </c>
      <c r="J378" t="s">
        <v>62</v>
      </c>
      <c r="K378" t="s">
        <v>21</v>
      </c>
      <c r="L378" t="s">
        <v>48</v>
      </c>
      <c r="M378">
        <f t="shared" si="10"/>
        <v>45293.86</v>
      </c>
      <c r="N378">
        <f t="shared" si="11"/>
        <v>23</v>
      </c>
      <c r="O378" t="str">
        <f ca="1">IFERROR((G378-_xludf.XLOOKUP(D378,Articles!A:A,Articles!D:D))/_xludf.XLOOKUP(D378,Articles!A:A,Articles!D:D),"")</f>
        <v/>
      </c>
      <c r="P378" t="s">
        <v>34</v>
      </c>
    </row>
    <row r="379" spans="1:16" x14ac:dyDescent="0.3">
      <c r="A379" t="s">
        <v>497</v>
      </c>
      <c r="B379">
        <v>45907</v>
      </c>
      <c r="C379" t="s">
        <v>158</v>
      </c>
      <c r="D379" t="s">
        <v>155</v>
      </c>
      <c r="E379" t="s">
        <v>19</v>
      </c>
      <c r="F379">
        <v>118</v>
      </c>
      <c r="G379">
        <v>171.25</v>
      </c>
      <c r="H379">
        <v>45960</v>
      </c>
      <c r="J379" t="s">
        <v>41</v>
      </c>
      <c r="K379" t="s">
        <v>21</v>
      </c>
      <c r="L379" t="s">
        <v>22</v>
      </c>
      <c r="M379">
        <f t="shared" si="10"/>
        <v>20207.5</v>
      </c>
      <c r="N379" t="str">
        <f t="shared" si="11"/>
        <v/>
      </c>
      <c r="O379" t="str">
        <f ca="1">IFERROR((G379-_xludf.XLOOKUP(D379,Articles!A:A,Articles!D:D))/_xludf.XLOOKUP(D379,Articles!A:A,Articles!D:D),"")</f>
        <v/>
      </c>
      <c r="P379" t="s">
        <v>29</v>
      </c>
    </row>
    <row r="380" spans="1:16" x14ac:dyDescent="0.3">
      <c r="A380" t="s">
        <v>498</v>
      </c>
      <c r="B380">
        <v>46111</v>
      </c>
      <c r="C380" t="s">
        <v>499</v>
      </c>
      <c r="D380" t="s">
        <v>190</v>
      </c>
      <c r="E380" t="s">
        <v>19</v>
      </c>
      <c r="F380">
        <v>59</v>
      </c>
      <c r="G380">
        <v>176.84</v>
      </c>
      <c r="H380">
        <v>46157</v>
      </c>
      <c r="I380">
        <v>46161</v>
      </c>
      <c r="J380" t="s">
        <v>20</v>
      </c>
      <c r="K380" t="s">
        <v>21</v>
      </c>
      <c r="L380" t="s">
        <v>48</v>
      </c>
      <c r="M380">
        <f t="shared" si="10"/>
        <v>10433.56</v>
      </c>
      <c r="N380">
        <f t="shared" si="11"/>
        <v>50</v>
      </c>
      <c r="O380" t="str">
        <f ca="1">IFERROR((G380-_xludf.XLOOKUP(D380,Articles!A:A,Articles!D:D))/_xludf.XLOOKUP(D380,Articles!A:A,Articles!D:D),"")</f>
        <v/>
      </c>
      <c r="P380" t="s">
        <v>29</v>
      </c>
    </row>
    <row r="381" spans="1:16" x14ac:dyDescent="0.3">
      <c r="A381" t="s">
        <v>500</v>
      </c>
      <c r="B381">
        <v>46037</v>
      </c>
      <c r="C381" t="s">
        <v>25</v>
      </c>
      <c r="D381" t="s">
        <v>501</v>
      </c>
      <c r="E381" t="s">
        <v>56</v>
      </c>
      <c r="F381">
        <v>2</v>
      </c>
      <c r="G381">
        <v>467.29</v>
      </c>
      <c r="H381">
        <v>46053</v>
      </c>
      <c r="I381">
        <v>46052</v>
      </c>
      <c r="J381" t="s">
        <v>20</v>
      </c>
      <c r="K381" t="s">
        <v>21</v>
      </c>
      <c r="L381" t="s">
        <v>33</v>
      </c>
      <c r="M381">
        <f t="shared" si="10"/>
        <v>934.58</v>
      </c>
      <c r="N381">
        <f t="shared" si="11"/>
        <v>15</v>
      </c>
      <c r="O381" t="str">
        <f ca="1">IFERROR((G381-_xludf.XLOOKUP(D381,Articles!A:A,Articles!D:D))/_xludf.XLOOKUP(D381,Articles!A:A,Articles!D:D),"")</f>
        <v/>
      </c>
      <c r="P381" t="s">
        <v>29</v>
      </c>
    </row>
    <row r="382" spans="1:16" x14ac:dyDescent="0.3">
      <c r="A382" t="s">
        <v>502</v>
      </c>
      <c r="B382">
        <v>45975</v>
      </c>
      <c r="C382" t="s">
        <v>25</v>
      </c>
      <c r="D382" t="s">
        <v>54</v>
      </c>
      <c r="E382" t="s">
        <v>37</v>
      </c>
      <c r="F382">
        <v>202</v>
      </c>
      <c r="G382">
        <v>270.19</v>
      </c>
      <c r="H382">
        <v>45994</v>
      </c>
      <c r="I382">
        <v>45993</v>
      </c>
      <c r="J382" t="s">
        <v>20</v>
      </c>
      <c r="K382" t="s">
        <v>21</v>
      </c>
      <c r="L382" t="s">
        <v>45</v>
      </c>
      <c r="M382">
        <f t="shared" si="10"/>
        <v>54578.38</v>
      </c>
      <c r="N382">
        <f t="shared" si="11"/>
        <v>18</v>
      </c>
      <c r="O382" t="str">
        <f ca="1">IFERROR((G382-_xludf.XLOOKUP(D382,Articles!A:A,Articles!D:D))/_xludf.XLOOKUP(D382,Articles!A:A,Articles!D:D),"")</f>
        <v/>
      </c>
      <c r="P382" t="s">
        <v>23</v>
      </c>
    </row>
    <row r="383" spans="1:16" x14ac:dyDescent="0.3">
      <c r="A383" t="s">
        <v>503</v>
      </c>
      <c r="B383">
        <v>46022</v>
      </c>
      <c r="C383" t="s">
        <v>80</v>
      </c>
      <c r="D383" t="s">
        <v>40</v>
      </c>
      <c r="E383" t="s">
        <v>19</v>
      </c>
      <c r="F383">
        <v>41</v>
      </c>
      <c r="G383">
        <v>191.61</v>
      </c>
      <c r="H383">
        <v>46064</v>
      </c>
      <c r="I383">
        <v>46068</v>
      </c>
      <c r="J383" t="s">
        <v>20</v>
      </c>
      <c r="K383" t="s">
        <v>21</v>
      </c>
      <c r="L383" t="s">
        <v>28</v>
      </c>
      <c r="M383">
        <f t="shared" si="10"/>
        <v>7856.01</v>
      </c>
      <c r="N383">
        <f t="shared" si="11"/>
        <v>46</v>
      </c>
      <c r="O383" t="str">
        <f ca="1">IFERROR((G383-_xludf.XLOOKUP(D383,Articles!A:A,Articles!D:D))/_xludf.XLOOKUP(D383,Articles!A:A,Articles!D:D),"")</f>
        <v/>
      </c>
      <c r="P383" t="s">
        <v>34</v>
      </c>
    </row>
    <row r="384" spans="1:16" x14ac:dyDescent="0.3">
      <c r="A384" t="s">
        <v>504</v>
      </c>
      <c r="B384">
        <v>45903</v>
      </c>
      <c r="C384" t="s">
        <v>64</v>
      </c>
      <c r="D384" t="s">
        <v>121</v>
      </c>
      <c r="E384" t="s">
        <v>37</v>
      </c>
      <c r="F384">
        <v>142</v>
      </c>
      <c r="G384">
        <v>100.26</v>
      </c>
      <c r="H384">
        <v>45946</v>
      </c>
      <c r="I384">
        <v>45945</v>
      </c>
      <c r="J384" t="s">
        <v>41</v>
      </c>
      <c r="K384" t="s">
        <v>21</v>
      </c>
      <c r="L384" t="s">
        <v>22</v>
      </c>
      <c r="M384">
        <f t="shared" si="10"/>
        <v>14236.92</v>
      </c>
      <c r="N384">
        <f t="shared" si="11"/>
        <v>42</v>
      </c>
      <c r="O384" t="str">
        <f ca="1">IFERROR((G384-_xludf.XLOOKUP(D384,Articles!A:A,Articles!D:D))/_xludf.XLOOKUP(D384,Articles!A:A,Articles!D:D),"")</f>
        <v/>
      </c>
      <c r="P384" t="s">
        <v>29</v>
      </c>
    </row>
    <row r="385" spans="1:16" x14ac:dyDescent="0.3">
      <c r="A385" t="s">
        <v>505</v>
      </c>
      <c r="B385">
        <v>45979</v>
      </c>
      <c r="C385" t="s">
        <v>39</v>
      </c>
      <c r="D385" t="s">
        <v>51</v>
      </c>
      <c r="E385" t="s">
        <v>27</v>
      </c>
      <c r="F385">
        <v>54</v>
      </c>
      <c r="G385">
        <v>325.33</v>
      </c>
      <c r="H385">
        <v>46009</v>
      </c>
      <c r="I385">
        <v>46009</v>
      </c>
      <c r="J385" t="s">
        <v>20</v>
      </c>
      <c r="K385" t="s">
        <v>21</v>
      </c>
      <c r="L385" t="s">
        <v>28</v>
      </c>
      <c r="M385">
        <f t="shared" si="10"/>
        <v>17567.82</v>
      </c>
      <c r="N385">
        <f t="shared" si="11"/>
        <v>30</v>
      </c>
      <c r="O385" t="str">
        <f ca="1">IFERROR((G385-_xludf.XLOOKUP(D385,Articles!A:A,Articles!D:D))/_xludf.XLOOKUP(D385,Articles!A:A,Articles!D:D),"")</f>
        <v/>
      </c>
      <c r="P385" t="s">
        <v>29</v>
      </c>
    </row>
    <row r="386" spans="1:16" x14ac:dyDescent="0.3">
      <c r="A386" t="s">
        <v>506</v>
      </c>
      <c r="B386">
        <v>46058</v>
      </c>
      <c r="C386" t="s">
        <v>50</v>
      </c>
      <c r="D386" t="s">
        <v>141</v>
      </c>
      <c r="E386" t="s">
        <v>56</v>
      </c>
      <c r="F386">
        <v>214</v>
      </c>
      <c r="G386">
        <v>190.99</v>
      </c>
      <c r="H386">
        <v>46089</v>
      </c>
      <c r="I386">
        <v>46089</v>
      </c>
      <c r="J386" t="s">
        <v>20</v>
      </c>
      <c r="K386" t="s">
        <v>21</v>
      </c>
      <c r="L386" t="s">
        <v>22</v>
      </c>
      <c r="M386">
        <f t="shared" ref="M386:M449" si="12">F386*G386</f>
        <v>40871.86</v>
      </c>
      <c r="N386">
        <f t="shared" ref="N386:N449" si="13">IF(I386="","",I386-B386)</f>
        <v>31</v>
      </c>
      <c r="O386" t="str">
        <f ca="1">IFERROR((G386-_xludf.XLOOKUP(D386,Articles!A:A,Articles!D:D))/_xludf.XLOOKUP(D386,Articles!A:A,Articles!D:D),"")</f>
        <v/>
      </c>
      <c r="P386" t="s">
        <v>23</v>
      </c>
    </row>
    <row r="387" spans="1:16" x14ac:dyDescent="0.3">
      <c r="A387" t="s">
        <v>507</v>
      </c>
      <c r="B387">
        <v>45919</v>
      </c>
      <c r="C387" t="s">
        <v>109</v>
      </c>
      <c r="D387" t="s">
        <v>377</v>
      </c>
      <c r="E387" t="s">
        <v>19</v>
      </c>
      <c r="F387">
        <v>75</v>
      </c>
      <c r="G387">
        <v>404.82</v>
      </c>
      <c r="H387">
        <v>45958</v>
      </c>
      <c r="I387">
        <v>45957</v>
      </c>
      <c r="J387" t="s">
        <v>41</v>
      </c>
      <c r="K387" t="s">
        <v>21</v>
      </c>
      <c r="L387" t="s">
        <v>33</v>
      </c>
      <c r="M387">
        <f t="shared" si="12"/>
        <v>30361.5</v>
      </c>
      <c r="N387">
        <f t="shared" si="13"/>
        <v>38</v>
      </c>
      <c r="O387" t="str">
        <f ca="1">IFERROR((G387-_xludf.XLOOKUP(D387,Articles!A:A,Articles!D:D))/_xludf.XLOOKUP(D387,Articles!A:A,Articles!D:D),"")</f>
        <v/>
      </c>
      <c r="P387" t="s">
        <v>29</v>
      </c>
    </row>
    <row r="388" spans="1:16" x14ac:dyDescent="0.3">
      <c r="A388" t="s">
        <v>508</v>
      </c>
      <c r="B388">
        <v>45926</v>
      </c>
      <c r="C388" t="s">
        <v>50</v>
      </c>
      <c r="D388" t="s">
        <v>206</v>
      </c>
      <c r="E388" t="s">
        <v>19</v>
      </c>
      <c r="F388">
        <v>73</v>
      </c>
      <c r="G388">
        <v>194.66</v>
      </c>
      <c r="H388">
        <v>45938</v>
      </c>
      <c r="I388">
        <v>45940</v>
      </c>
      <c r="J388" t="s">
        <v>20</v>
      </c>
      <c r="K388" t="s">
        <v>21</v>
      </c>
      <c r="L388" t="s">
        <v>22</v>
      </c>
      <c r="M388">
        <f t="shared" si="12"/>
        <v>14210.18</v>
      </c>
      <c r="N388">
        <f t="shared" si="13"/>
        <v>14</v>
      </c>
      <c r="O388" t="str">
        <f ca="1">IFERROR((G388-_xludf.XLOOKUP(D388,Articles!A:A,Articles!D:D))/_xludf.XLOOKUP(D388,Articles!A:A,Articles!D:D),"")</f>
        <v/>
      </c>
      <c r="P388" t="s">
        <v>29</v>
      </c>
    </row>
    <row r="389" spans="1:16" x14ac:dyDescent="0.3">
      <c r="A389" t="s">
        <v>509</v>
      </c>
      <c r="B389">
        <v>46046</v>
      </c>
      <c r="C389" t="s">
        <v>75</v>
      </c>
      <c r="D389" t="s">
        <v>59</v>
      </c>
      <c r="E389" t="s">
        <v>27</v>
      </c>
      <c r="F389">
        <v>94</v>
      </c>
      <c r="G389">
        <v>234.21</v>
      </c>
      <c r="H389">
        <v>46101</v>
      </c>
      <c r="I389">
        <v>46101</v>
      </c>
      <c r="J389" t="s">
        <v>41</v>
      </c>
      <c r="K389" t="s">
        <v>21</v>
      </c>
      <c r="L389" t="s">
        <v>45</v>
      </c>
      <c r="M389">
        <f t="shared" si="12"/>
        <v>22015.74</v>
      </c>
      <c r="N389">
        <f t="shared" si="13"/>
        <v>55</v>
      </c>
      <c r="O389" t="str">
        <f ca="1">IFERROR((G389-_xludf.XLOOKUP(D389,Articles!A:A,Articles!D:D))/_xludf.XLOOKUP(D389,Articles!A:A,Articles!D:D),"")</f>
        <v/>
      </c>
      <c r="P389" t="s">
        <v>29</v>
      </c>
    </row>
    <row r="390" spans="1:16" x14ac:dyDescent="0.3">
      <c r="A390" t="s">
        <v>510</v>
      </c>
      <c r="B390">
        <v>45935</v>
      </c>
      <c r="C390" t="s">
        <v>64</v>
      </c>
      <c r="D390" t="s">
        <v>128</v>
      </c>
      <c r="E390" t="s">
        <v>37</v>
      </c>
      <c r="F390">
        <v>174</v>
      </c>
      <c r="G390">
        <v>466.65</v>
      </c>
      <c r="H390">
        <v>45982</v>
      </c>
      <c r="I390">
        <v>45989</v>
      </c>
      <c r="J390" t="s">
        <v>20</v>
      </c>
      <c r="K390" t="s">
        <v>21</v>
      </c>
      <c r="L390" t="s">
        <v>22</v>
      </c>
      <c r="M390">
        <f t="shared" si="12"/>
        <v>81197.099999999991</v>
      </c>
      <c r="N390">
        <f t="shared" si="13"/>
        <v>54</v>
      </c>
      <c r="O390" t="str">
        <f ca="1">IFERROR((G390-_xludf.XLOOKUP(D390,Articles!A:A,Articles!D:D))/_xludf.XLOOKUP(D390,Articles!A:A,Articles!D:D),"")</f>
        <v/>
      </c>
      <c r="P390" t="s">
        <v>34</v>
      </c>
    </row>
    <row r="391" spans="1:16" x14ac:dyDescent="0.3">
      <c r="A391" t="s">
        <v>511</v>
      </c>
      <c r="B391">
        <v>46066</v>
      </c>
      <c r="C391" t="s">
        <v>87</v>
      </c>
      <c r="D391" t="s">
        <v>145</v>
      </c>
      <c r="E391" t="s">
        <v>56</v>
      </c>
      <c r="F391">
        <v>156</v>
      </c>
      <c r="G391">
        <v>205.76</v>
      </c>
      <c r="H391">
        <v>46090</v>
      </c>
      <c r="I391">
        <v>46090</v>
      </c>
      <c r="J391" t="s">
        <v>62</v>
      </c>
      <c r="K391" t="s">
        <v>21</v>
      </c>
      <c r="L391" t="s">
        <v>48</v>
      </c>
      <c r="M391">
        <f t="shared" si="12"/>
        <v>32098.559999999998</v>
      </c>
      <c r="N391">
        <f t="shared" si="13"/>
        <v>24</v>
      </c>
      <c r="O391" t="str">
        <f ca="1">IFERROR((G391-_xludf.XLOOKUP(D391,Articles!A:A,Articles!D:D))/_xludf.XLOOKUP(D391,Articles!A:A,Articles!D:D),"")</f>
        <v/>
      </c>
      <c r="P391" t="s">
        <v>29</v>
      </c>
    </row>
    <row r="392" spans="1:16" x14ac:dyDescent="0.3">
      <c r="A392" t="s">
        <v>512</v>
      </c>
      <c r="B392">
        <v>46062</v>
      </c>
      <c r="C392" t="s">
        <v>123</v>
      </c>
      <c r="D392" t="s">
        <v>209</v>
      </c>
      <c r="E392" t="s">
        <v>56</v>
      </c>
      <c r="F392">
        <v>8</v>
      </c>
      <c r="G392">
        <v>274.55</v>
      </c>
      <c r="H392">
        <v>46090</v>
      </c>
      <c r="I392">
        <v>46094</v>
      </c>
      <c r="J392" t="s">
        <v>20</v>
      </c>
      <c r="K392" t="s">
        <v>21</v>
      </c>
      <c r="L392" t="s">
        <v>22</v>
      </c>
      <c r="M392">
        <f t="shared" si="12"/>
        <v>2196.4</v>
      </c>
      <c r="N392">
        <f t="shared" si="13"/>
        <v>32</v>
      </c>
      <c r="O392" t="str">
        <f ca="1">IFERROR((G392-_xludf.XLOOKUP(D392,Articles!A:A,Articles!D:D))/_xludf.XLOOKUP(D392,Articles!A:A,Articles!D:D),"")</f>
        <v/>
      </c>
      <c r="P392" t="s">
        <v>29</v>
      </c>
    </row>
    <row r="393" spans="1:16" x14ac:dyDescent="0.3">
      <c r="A393" t="s">
        <v>513</v>
      </c>
      <c r="B393">
        <v>46039</v>
      </c>
      <c r="C393" t="s">
        <v>109</v>
      </c>
      <c r="D393" t="s">
        <v>239</v>
      </c>
      <c r="E393" t="s">
        <v>19</v>
      </c>
      <c r="F393">
        <v>121</v>
      </c>
      <c r="G393">
        <v>346.16</v>
      </c>
      <c r="H393">
        <v>46094</v>
      </c>
      <c r="I393">
        <v>46096</v>
      </c>
      <c r="J393" t="s">
        <v>20</v>
      </c>
      <c r="K393" t="s">
        <v>21</v>
      </c>
      <c r="L393" t="s">
        <v>28</v>
      </c>
      <c r="M393">
        <f t="shared" si="12"/>
        <v>41885.360000000001</v>
      </c>
      <c r="N393">
        <f t="shared" si="13"/>
        <v>57</v>
      </c>
      <c r="O393" t="str">
        <f ca="1">IFERROR((G393-_xludf.XLOOKUP(D393,Articles!A:A,Articles!D:D))/_xludf.XLOOKUP(D393,Articles!A:A,Articles!D:D),"")</f>
        <v/>
      </c>
      <c r="P393" t="s">
        <v>34</v>
      </c>
    </row>
    <row r="394" spans="1:16" x14ac:dyDescent="0.3">
      <c r="A394" t="s">
        <v>514</v>
      </c>
      <c r="B394">
        <v>46031</v>
      </c>
      <c r="C394" t="s">
        <v>123</v>
      </c>
      <c r="D394" t="s">
        <v>377</v>
      </c>
      <c r="E394" t="s">
        <v>27</v>
      </c>
      <c r="F394">
        <v>24</v>
      </c>
      <c r="G394">
        <v>373.07</v>
      </c>
      <c r="H394">
        <v>46074</v>
      </c>
      <c r="J394" t="s">
        <v>20</v>
      </c>
      <c r="K394" t="s">
        <v>21</v>
      </c>
      <c r="L394" t="s">
        <v>22</v>
      </c>
      <c r="M394">
        <f t="shared" si="12"/>
        <v>8953.68</v>
      </c>
      <c r="N394" t="str">
        <f t="shared" si="13"/>
        <v/>
      </c>
      <c r="O394" t="str">
        <f ca="1">IFERROR((G394-_xludf.XLOOKUP(D394,Articles!A:A,Articles!D:D))/_xludf.XLOOKUP(D394,Articles!A:A,Articles!D:D),"")</f>
        <v/>
      </c>
      <c r="P394" t="s">
        <v>34</v>
      </c>
    </row>
    <row r="395" spans="1:16" x14ac:dyDescent="0.3">
      <c r="A395" t="s">
        <v>515</v>
      </c>
      <c r="B395">
        <v>45941</v>
      </c>
      <c r="C395" t="s">
        <v>95</v>
      </c>
      <c r="D395" t="s">
        <v>206</v>
      </c>
      <c r="E395" t="s">
        <v>19</v>
      </c>
      <c r="F395">
        <v>46</v>
      </c>
      <c r="G395">
        <v>191.66</v>
      </c>
      <c r="H395">
        <v>45959</v>
      </c>
      <c r="I395">
        <v>45959</v>
      </c>
      <c r="J395" t="s">
        <v>20</v>
      </c>
      <c r="K395" t="s">
        <v>21</v>
      </c>
      <c r="L395" t="s">
        <v>48</v>
      </c>
      <c r="M395">
        <f t="shared" si="12"/>
        <v>8816.36</v>
      </c>
      <c r="N395">
        <f t="shared" si="13"/>
        <v>18</v>
      </c>
      <c r="O395" t="str">
        <f ca="1">IFERROR((G395-_xludf.XLOOKUP(D395,Articles!A:A,Articles!D:D))/_xludf.XLOOKUP(D395,Articles!A:A,Articles!D:D),"")</f>
        <v/>
      </c>
      <c r="P395" t="s">
        <v>29</v>
      </c>
    </row>
    <row r="396" spans="1:16" x14ac:dyDescent="0.3">
      <c r="A396" t="s">
        <v>516</v>
      </c>
      <c r="B396">
        <v>45960</v>
      </c>
      <c r="C396" t="s">
        <v>72</v>
      </c>
      <c r="D396" t="s">
        <v>44</v>
      </c>
      <c r="E396" t="s">
        <v>19</v>
      </c>
      <c r="F396">
        <v>17</v>
      </c>
      <c r="G396">
        <v>95.24</v>
      </c>
      <c r="H396">
        <v>45991</v>
      </c>
      <c r="I396">
        <v>45988</v>
      </c>
      <c r="J396" t="s">
        <v>20</v>
      </c>
      <c r="K396" t="s">
        <v>21</v>
      </c>
      <c r="L396" t="s">
        <v>45</v>
      </c>
      <c r="M396">
        <f t="shared" si="12"/>
        <v>1619.08</v>
      </c>
      <c r="N396">
        <f t="shared" si="13"/>
        <v>28</v>
      </c>
      <c r="O396" t="str">
        <f ca="1">IFERROR((G396-_xludf.XLOOKUP(D396,Articles!A:A,Articles!D:D))/_xludf.XLOOKUP(D396,Articles!A:A,Articles!D:D),"")</f>
        <v/>
      </c>
      <c r="P396" t="s">
        <v>29</v>
      </c>
    </row>
    <row r="397" spans="1:16" x14ac:dyDescent="0.3">
      <c r="A397" t="s">
        <v>517</v>
      </c>
      <c r="B397">
        <v>45912</v>
      </c>
      <c r="C397" t="s">
        <v>95</v>
      </c>
      <c r="D397" t="s">
        <v>102</v>
      </c>
      <c r="E397" t="s">
        <v>19</v>
      </c>
      <c r="F397">
        <v>-10</v>
      </c>
      <c r="G397">
        <v>329.92</v>
      </c>
      <c r="H397">
        <v>45973</v>
      </c>
      <c r="I397">
        <v>45972</v>
      </c>
      <c r="J397" t="s">
        <v>20</v>
      </c>
      <c r="K397" t="s">
        <v>21</v>
      </c>
      <c r="L397" t="s">
        <v>33</v>
      </c>
      <c r="M397">
        <f t="shared" si="12"/>
        <v>-3299.2000000000003</v>
      </c>
      <c r="N397">
        <f t="shared" si="13"/>
        <v>60</v>
      </c>
      <c r="O397" t="str">
        <f ca="1">IFERROR((G397-_xludf.XLOOKUP(D397,Articles!A:A,Articles!D:D))/_xludf.XLOOKUP(D397,Articles!A:A,Articles!D:D),"")</f>
        <v/>
      </c>
      <c r="P397" t="s">
        <v>29</v>
      </c>
    </row>
    <row r="398" spans="1:16" x14ac:dyDescent="0.3">
      <c r="A398" t="s">
        <v>518</v>
      </c>
      <c r="B398">
        <v>46046</v>
      </c>
      <c r="C398" t="s">
        <v>109</v>
      </c>
      <c r="D398" t="s">
        <v>81</v>
      </c>
      <c r="E398" t="s">
        <v>56</v>
      </c>
      <c r="F398">
        <v>45</v>
      </c>
      <c r="G398">
        <v>401.2</v>
      </c>
      <c r="H398">
        <v>46105</v>
      </c>
      <c r="I398">
        <v>46107</v>
      </c>
      <c r="J398" t="s">
        <v>20</v>
      </c>
      <c r="K398" t="s">
        <v>21</v>
      </c>
      <c r="L398" t="s">
        <v>22</v>
      </c>
      <c r="M398">
        <f t="shared" si="12"/>
        <v>18054</v>
      </c>
      <c r="N398">
        <f t="shared" si="13"/>
        <v>61</v>
      </c>
      <c r="O398" t="str">
        <f ca="1">IFERROR((G398-_xludf.XLOOKUP(D398,Articles!A:A,Articles!D:D))/_xludf.XLOOKUP(D398,Articles!A:A,Articles!D:D),"")</f>
        <v/>
      </c>
      <c r="P398" t="s">
        <v>34</v>
      </c>
    </row>
    <row r="399" spans="1:16" x14ac:dyDescent="0.3">
      <c r="A399" t="s">
        <v>519</v>
      </c>
      <c r="B399">
        <v>45958</v>
      </c>
      <c r="C399" t="s">
        <v>31</v>
      </c>
      <c r="D399" t="s">
        <v>239</v>
      </c>
      <c r="E399" t="s">
        <v>56</v>
      </c>
      <c r="F399">
        <v>133</v>
      </c>
      <c r="G399">
        <v>321.52999999999997</v>
      </c>
      <c r="H399">
        <v>46016</v>
      </c>
      <c r="I399">
        <v>46023</v>
      </c>
      <c r="J399" t="s">
        <v>20</v>
      </c>
      <c r="K399" t="s">
        <v>21</v>
      </c>
      <c r="L399" t="s">
        <v>22</v>
      </c>
      <c r="M399">
        <f t="shared" si="12"/>
        <v>42763.49</v>
      </c>
      <c r="N399">
        <f t="shared" si="13"/>
        <v>65</v>
      </c>
      <c r="O399" t="str">
        <f ca="1">IFERROR((G399-_xludf.XLOOKUP(D399,Articles!A:A,Articles!D:D))/_xludf.XLOOKUP(D399,Articles!A:A,Articles!D:D),"")</f>
        <v/>
      </c>
      <c r="P399" t="s">
        <v>34</v>
      </c>
    </row>
    <row r="400" spans="1:16" x14ac:dyDescent="0.3">
      <c r="A400" t="s">
        <v>520</v>
      </c>
      <c r="B400">
        <v>45943</v>
      </c>
      <c r="C400" t="s">
        <v>95</v>
      </c>
      <c r="D400" t="s">
        <v>206</v>
      </c>
      <c r="E400" t="s">
        <v>19</v>
      </c>
      <c r="F400">
        <v>59</v>
      </c>
      <c r="G400">
        <v>164.08</v>
      </c>
      <c r="H400">
        <v>45962</v>
      </c>
      <c r="I400">
        <v>45963</v>
      </c>
      <c r="J400" t="s">
        <v>41</v>
      </c>
      <c r="K400" t="s">
        <v>21</v>
      </c>
      <c r="L400" t="s">
        <v>22</v>
      </c>
      <c r="M400">
        <f t="shared" si="12"/>
        <v>9680.7200000000012</v>
      </c>
      <c r="N400">
        <f t="shared" si="13"/>
        <v>20</v>
      </c>
      <c r="O400" t="str">
        <f ca="1">IFERROR((G400-_xludf.XLOOKUP(D400,Articles!A:A,Articles!D:D))/_xludf.XLOOKUP(D400,Articles!A:A,Articles!D:D),"")</f>
        <v/>
      </c>
      <c r="P400" t="s">
        <v>29</v>
      </c>
    </row>
    <row r="401" spans="1:16" x14ac:dyDescent="0.3">
      <c r="A401" t="s">
        <v>521</v>
      </c>
      <c r="B401">
        <v>46007</v>
      </c>
      <c r="C401" t="s">
        <v>522</v>
      </c>
      <c r="D401" t="s">
        <v>110</v>
      </c>
      <c r="E401" t="s">
        <v>27</v>
      </c>
      <c r="F401">
        <v>208</v>
      </c>
      <c r="G401">
        <v>400.03</v>
      </c>
      <c r="H401">
        <v>46047</v>
      </c>
      <c r="I401">
        <v>46054</v>
      </c>
      <c r="J401" t="s">
        <v>20</v>
      </c>
      <c r="K401" t="s">
        <v>21</v>
      </c>
      <c r="L401" t="s">
        <v>45</v>
      </c>
      <c r="M401">
        <f t="shared" si="12"/>
        <v>83206.239999999991</v>
      </c>
      <c r="N401">
        <f t="shared" si="13"/>
        <v>47</v>
      </c>
      <c r="O401" t="str">
        <f ca="1">IFERROR((G401-_xludf.XLOOKUP(D401,Articles!A:A,Articles!D:D))/_xludf.XLOOKUP(D401,Articles!A:A,Articles!D:D),"")</f>
        <v/>
      </c>
      <c r="P401" t="s">
        <v>29</v>
      </c>
    </row>
    <row r="402" spans="1:16" x14ac:dyDescent="0.3">
      <c r="A402" t="s">
        <v>523</v>
      </c>
      <c r="B402">
        <v>45912</v>
      </c>
      <c r="C402" t="s">
        <v>50</v>
      </c>
      <c r="D402" t="s">
        <v>209</v>
      </c>
      <c r="E402" t="s">
        <v>27</v>
      </c>
      <c r="F402">
        <v>33</v>
      </c>
      <c r="G402">
        <v>256.54000000000002</v>
      </c>
      <c r="H402">
        <v>45933</v>
      </c>
      <c r="I402">
        <v>45957</v>
      </c>
      <c r="J402" t="s">
        <v>20</v>
      </c>
      <c r="K402" t="s">
        <v>21</v>
      </c>
      <c r="L402" t="s">
        <v>48</v>
      </c>
      <c r="M402">
        <f t="shared" si="12"/>
        <v>8465.8200000000015</v>
      </c>
      <c r="N402">
        <f t="shared" si="13"/>
        <v>45</v>
      </c>
      <c r="O402" t="str">
        <f ca="1">IFERROR((G402-_xludf.XLOOKUP(D402,Articles!A:A,Articles!D:D))/_xludf.XLOOKUP(D402,Articles!A:A,Articles!D:D),"")</f>
        <v/>
      </c>
      <c r="P402" t="s">
        <v>29</v>
      </c>
    </row>
    <row r="403" spans="1:16" x14ac:dyDescent="0.3">
      <c r="A403" t="s">
        <v>524</v>
      </c>
      <c r="B403">
        <v>45947</v>
      </c>
      <c r="C403" t="s">
        <v>67</v>
      </c>
      <c r="D403" t="s">
        <v>186</v>
      </c>
      <c r="E403" t="s">
        <v>19</v>
      </c>
      <c r="F403">
        <v>133</v>
      </c>
      <c r="G403">
        <v>206.56</v>
      </c>
      <c r="H403">
        <v>46014</v>
      </c>
      <c r="I403">
        <v>46011</v>
      </c>
      <c r="J403" t="s">
        <v>62</v>
      </c>
      <c r="K403" t="s">
        <v>21</v>
      </c>
      <c r="L403" t="s">
        <v>48</v>
      </c>
      <c r="M403">
        <f t="shared" si="12"/>
        <v>27472.48</v>
      </c>
      <c r="N403">
        <f t="shared" si="13"/>
        <v>64</v>
      </c>
      <c r="O403" t="str">
        <f ca="1">IFERROR((G403-_xludf.XLOOKUP(D403,Articles!A:A,Articles!D:D))/_xludf.XLOOKUP(D403,Articles!A:A,Articles!D:D),"")</f>
        <v/>
      </c>
      <c r="P403" t="s">
        <v>29</v>
      </c>
    </row>
    <row r="404" spans="1:16" x14ac:dyDescent="0.3">
      <c r="A404" t="s">
        <v>525</v>
      </c>
      <c r="B404">
        <v>46056</v>
      </c>
      <c r="C404" t="s">
        <v>95</v>
      </c>
      <c r="D404" t="s">
        <v>36</v>
      </c>
      <c r="E404" t="s">
        <v>27</v>
      </c>
      <c r="F404">
        <v>121</v>
      </c>
      <c r="G404">
        <v>419.12</v>
      </c>
      <c r="H404">
        <v>46066</v>
      </c>
      <c r="I404">
        <v>46066</v>
      </c>
      <c r="J404" t="s">
        <v>62</v>
      </c>
      <c r="K404" t="s">
        <v>21</v>
      </c>
      <c r="L404" t="s">
        <v>22</v>
      </c>
      <c r="M404">
        <f t="shared" si="12"/>
        <v>50713.520000000004</v>
      </c>
      <c r="N404">
        <f t="shared" si="13"/>
        <v>10</v>
      </c>
      <c r="O404" t="str">
        <f ca="1">IFERROR((G404-_xludf.XLOOKUP(D404,Articles!A:A,Articles!D:D))/_xludf.XLOOKUP(D404,Articles!A:A,Articles!D:D),"")</f>
        <v/>
      </c>
      <c r="P404" t="s">
        <v>29</v>
      </c>
    </row>
    <row r="405" spans="1:16" x14ac:dyDescent="0.3">
      <c r="A405" t="s">
        <v>526</v>
      </c>
      <c r="B405">
        <v>45968</v>
      </c>
      <c r="C405" t="s">
        <v>123</v>
      </c>
      <c r="D405" t="s">
        <v>40</v>
      </c>
      <c r="E405" t="s">
        <v>37</v>
      </c>
      <c r="F405">
        <v>43</v>
      </c>
      <c r="G405">
        <v>131.76</v>
      </c>
      <c r="H405">
        <v>46013</v>
      </c>
      <c r="J405" t="s">
        <v>20</v>
      </c>
      <c r="K405" t="s">
        <v>21</v>
      </c>
      <c r="L405" t="s">
        <v>45</v>
      </c>
      <c r="M405">
        <f t="shared" si="12"/>
        <v>5665.6799999999994</v>
      </c>
      <c r="N405" t="str">
        <f t="shared" si="13"/>
        <v/>
      </c>
      <c r="O405" t="str">
        <f ca="1">IFERROR((G405-_xludf.XLOOKUP(D405,Articles!A:A,Articles!D:D))/_xludf.XLOOKUP(D405,Articles!A:A,Articles!D:D),"")</f>
        <v/>
      </c>
      <c r="P405" t="s">
        <v>29</v>
      </c>
    </row>
    <row r="406" spans="1:16" x14ac:dyDescent="0.3">
      <c r="A406" t="s">
        <v>527</v>
      </c>
      <c r="B406">
        <v>45905</v>
      </c>
      <c r="C406" t="s">
        <v>25</v>
      </c>
      <c r="D406" t="s">
        <v>206</v>
      </c>
      <c r="E406" t="s">
        <v>27</v>
      </c>
      <c r="F406">
        <v>52</v>
      </c>
      <c r="G406">
        <v>189.2</v>
      </c>
      <c r="H406">
        <v>45922</v>
      </c>
      <c r="I406">
        <v>45926</v>
      </c>
      <c r="J406" t="s">
        <v>62</v>
      </c>
      <c r="K406" t="s">
        <v>21</v>
      </c>
      <c r="L406" t="s">
        <v>45</v>
      </c>
      <c r="M406">
        <f t="shared" si="12"/>
        <v>9838.4</v>
      </c>
      <c r="N406">
        <f t="shared" si="13"/>
        <v>21</v>
      </c>
      <c r="O406" t="str">
        <f ca="1">IFERROR((G406-_xludf.XLOOKUP(D406,Articles!A:A,Articles!D:D))/_xludf.XLOOKUP(D406,Articles!A:A,Articles!D:D),"")</f>
        <v/>
      </c>
      <c r="P406" t="s">
        <v>29</v>
      </c>
    </row>
    <row r="407" spans="1:16" x14ac:dyDescent="0.3">
      <c r="A407" t="s">
        <v>528</v>
      </c>
      <c r="B407">
        <v>45910</v>
      </c>
      <c r="C407" t="s">
        <v>114</v>
      </c>
      <c r="D407" t="s">
        <v>212</v>
      </c>
      <c r="E407" t="s">
        <v>56</v>
      </c>
      <c r="F407">
        <v>225</v>
      </c>
      <c r="G407">
        <v>449.21</v>
      </c>
      <c r="H407">
        <v>45943</v>
      </c>
      <c r="I407">
        <v>45942</v>
      </c>
      <c r="J407" t="s">
        <v>41</v>
      </c>
      <c r="K407" t="s">
        <v>21</v>
      </c>
      <c r="L407" t="s">
        <v>45</v>
      </c>
      <c r="M407">
        <f t="shared" si="12"/>
        <v>101072.25</v>
      </c>
      <c r="N407">
        <f t="shared" si="13"/>
        <v>32</v>
      </c>
      <c r="O407" t="str">
        <f ca="1">IFERROR((G407-_xludf.XLOOKUP(D407,Articles!A:A,Articles!D:D))/_xludf.XLOOKUP(D407,Articles!A:A,Articles!D:D),"")</f>
        <v/>
      </c>
      <c r="P407" t="s">
        <v>29</v>
      </c>
    </row>
    <row r="408" spans="1:16" x14ac:dyDescent="0.3">
      <c r="A408" t="s">
        <v>529</v>
      </c>
      <c r="B408">
        <v>45995</v>
      </c>
      <c r="C408" t="s">
        <v>17</v>
      </c>
      <c r="D408" t="s">
        <v>317</v>
      </c>
      <c r="E408" t="s">
        <v>37</v>
      </c>
      <c r="F408">
        <v>224</v>
      </c>
      <c r="G408">
        <v>223.5</v>
      </c>
      <c r="H408">
        <v>46041</v>
      </c>
      <c r="I408">
        <v>46045</v>
      </c>
      <c r="J408" t="s">
        <v>41</v>
      </c>
      <c r="K408" t="s">
        <v>21</v>
      </c>
      <c r="L408" t="s">
        <v>33</v>
      </c>
      <c r="M408">
        <f t="shared" si="12"/>
        <v>50064</v>
      </c>
      <c r="N408">
        <f t="shared" si="13"/>
        <v>50</v>
      </c>
      <c r="O408" t="str">
        <f ca="1">IFERROR((G408-_xludf.XLOOKUP(D408,Articles!A:A,Articles!D:D))/_xludf.XLOOKUP(D408,Articles!A:A,Articles!D:D),"")</f>
        <v/>
      </c>
      <c r="P408" t="s">
        <v>34</v>
      </c>
    </row>
    <row r="409" spans="1:16" x14ac:dyDescent="0.3">
      <c r="A409" t="s">
        <v>530</v>
      </c>
      <c r="B409">
        <v>45926</v>
      </c>
      <c r="C409" t="s">
        <v>75</v>
      </c>
      <c r="D409" t="s">
        <v>81</v>
      </c>
      <c r="E409" t="s">
        <v>37</v>
      </c>
      <c r="F409">
        <v>109</v>
      </c>
      <c r="G409">
        <v>370.86</v>
      </c>
      <c r="H409">
        <v>45986</v>
      </c>
      <c r="I409">
        <v>45986</v>
      </c>
      <c r="J409" t="s">
        <v>62</v>
      </c>
      <c r="K409" t="s">
        <v>21</v>
      </c>
      <c r="L409" t="s">
        <v>33</v>
      </c>
      <c r="M409">
        <f t="shared" si="12"/>
        <v>40423.74</v>
      </c>
      <c r="N409">
        <f t="shared" si="13"/>
        <v>60</v>
      </c>
      <c r="O409" t="str">
        <f ca="1">IFERROR((G409-_xludf.XLOOKUP(D409,Articles!A:A,Articles!D:D))/_xludf.XLOOKUP(D409,Articles!A:A,Articles!D:D),"")</f>
        <v/>
      </c>
      <c r="P409" t="s">
        <v>23</v>
      </c>
    </row>
    <row r="410" spans="1:16" x14ac:dyDescent="0.3">
      <c r="A410" t="s">
        <v>531</v>
      </c>
      <c r="B410">
        <v>46082</v>
      </c>
      <c r="C410" t="s">
        <v>75</v>
      </c>
      <c r="D410" t="s">
        <v>294</v>
      </c>
      <c r="E410" t="s">
        <v>27</v>
      </c>
      <c r="F410">
        <v>191</v>
      </c>
      <c r="G410">
        <v>452.21</v>
      </c>
      <c r="H410">
        <v>46122</v>
      </c>
      <c r="I410">
        <v>46134</v>
      </c>
      <c r="J410" t="s">
        <v>41</v>
      </c>
      <c r="K410" t="s">
        <v>21</v>
      </c>
      <c r="L410" t="s">
        <v>33</v>
      </c>
      <c r="M410">
        <f t="shared" si="12"/>
        <v>86372.11</v>
      </c>
      <c r="N410">
        <f t="shared" si="13"/>
        <v>52</v>
      </c>
      <c r="O410" t="str">
        <f ca="1">IFERROR((G410-_xludf.XLOOKUP(D410,Articles!A:A,Articles!D:D))/_xludf.XLOOKUP(D410,Articles!A:A,Articles!D:D),"")</f>
        <v/>
      </c>
      <c r="P410" t="s">
        <v>29</v>
      </c>
    </row>
    <row r="411" spans="1:16" x14ac:dyDescent="0.3">
      <c r="A411" t="s">
        <v>532</v>
      </c>
      <c r="B411">
        <v>45928</v>
      </c>
      <c r="C411" t="s">
        <v>64</v>
      </c>
      <c r="D411" t="s">
        <v>32</v>
      </c>
      <c r="E411" t="s">
        <v>19</v>
      </c>
      <c r="F411">
        <v>40</v>
      </c>
      <c r="G411">
        <v>242.6</v>
      </c>
      <c r="H411">
        <v>45959</v>
      </c>
      <c r="I411">
        <v>45960</v>
      </c>
      <c r="J411" t="s">
        <v>20</v>
      </c>
      <c r="K411" t="s">
        <v>21</v>
      </c>
      <c r="L411" t="s">
        <v>22</v>
      </c>
      <c r="M411">
        <f t="shared" si="12"/>
        <v>9704</v>
      </c>
      <c r="N411">
        <f t="shared" si="13"/>
        <v>32</v>
      </c>
      <c r="O411" t="str">
        <f ca="1">IFERROR((G411-_xludf.XLOOKUP(D411,Articles!A:A,Articles!D:D))/_xludf.XLOOKUP(D411,Articles!A:A,Articles!D:D),"")</f>
        <v/>
      </c>
      <c r="P411" t="s">
        <v>29</v>
      </c>
    </row>
    <row r="412" spans="1:16" x14ac:dyDescent="0.3">
      <c r="A412" t="s">
        <v>533</v>
      </c>
      <c r="B412">
        <v>46094</v>
      </c>
      <c r="C412" t="s">
        <v>31</v>
      </c>
      <c r="D412" t="s">
        <v>128</v>
      </c>
      <c r="E412" t="s">
        <v>37</v>
      </c>
      <c r="F412">
        <v>53</v>
      </c>
      <c r="G412">
        <v>672.73</v>
      </c>
      <c r="H412">
        <v>46142</v>
      </c>
      <c r="I412">
        <v>46149</v>
      </c>
      <c r="J412" t="s">
        <v>41</v>
      </c>
      <c r="K412" t="s">
        <v>21</v>
      </c>
      <c r="L412" t="s">
        <v>33</v>
      </c>
      <c r="M412">
        <f t="shared" si="12"/>
        <v>35654.69</v>
      </c>
      <c r="N412">
        <f t="shared" si="13"/>
        <v>55</v>
      </c>
      <c r="O412" t="str">
        <f ca="1">IFERROR((G412-_xludf.XLOOKUP(D412,Articles!A:A,Articles!D:D))/_xludf.XLOOKUP(D412,Articles!A:A,Articles!D:D),"")</f>
        <v/>
      </c>
      <c r="P412" t="s">
        <v>29</v>
      </c>
    </row>
    <row r="413" spans="1:16" x14ac:dyDescent="0.3">
      <c r="A413" t="s">
        <v>534</v>
      </c>
      <c r="B413">
        <v>45989</v>
      </c>
      <c r="C413" t="s">
        <v>535</v>
      </c>
      <c r="D413" t="s">
        <v>121</v>
      </c>
      <c r="E413" t="s">
        <v>27</v>
      </c>
      <c r="F413">
        <v>199</v>
      </c>
      <c r="G413">
        <v>95.69</v>
      </c>
      <c r="H413">
        <v>46032</v>
      </c>
      <c r="I413">
        <v>46031</v>
      </c>
      <c r="J413" t="s">
        <v>20</v>
      </c>
      <c r="K413" t="s">
        <v>21</v>
      </c>
      <c r="L413" t="s">
        <v>48</v>
      </c>
      <c r="M413">
        <f t="shared" si="12"/>
        <v>19042.310000000001</v>
      </c>
      <c r="N413">
        <f t="shared" si="13"/>
        <v>42</v>
      </c>
      <c r="O413" t="str">
        <f ca="1">IFERROR((G413-_xludf.XLOOKUP(D413,Articles!A:A,Articles!D:D))/_xludf.XLOOKUP(D413,Articles!A:A,Articles!D:D),"")</f>
        <v/>
      </c>
      <c r="P413" t="s">
        <v>29</v>
      </c>
    </row>
    <row r="414" spans="1:16" x14ac:dyDescent="0.3">
      <c r="A414" t="s">
        <v>536</v>
      </c>
      <c r="B414">
        <v>46003</v>
      </c>
      <c r="C414" t="s">
        <v>95</v>
      </c>
      <c r="D414" t="s">
        <v>36</v>
      </c>
      <c r="E414" t="s">
        <v>56</v>
      </c>
      <c r="F414">
        <v>202</v>
      </c>
      <c r="G414">
        <v>359.22</v>
      </c>
      <c r="H414">
        <v>46019</v>
      </c>
      <c r="I414">
        <v>46016</v>
      </c>
      <c r="J414" t="s">
        <v>41</v>
      </c>
      <c r="K414" t="s">
        <v>21</v>
      </c>
      <c r="L414" t="s">
        <v>48</v>
      </c>
      <c r="M414">
        <f t="shared" si="12"/>
        <v>72562.44</v>
      </c>
      <c r="N414">
        <f t="shared" si="13"/>
        <v>13</v>
      </c>
      <c r="O414" t="str">
        <f ca="1">IFERROR((G414-_xludf.XLOOKUP(D414,Articles!A:A,Articles!D:D))/_xludf.XLOOKUP(D414,Articles!A:A,Articles!D:D),"")</f>
        <v/>
      </c>
      <c r="P414" t="s">
        <v>23</v>
      </c>
    </row>
    <row r="415" spans="1:16" x14ac:dyDescent="0.3">
      <c r="A415" t="s">
        <v>537</v>
      </c>
      <c r="B415">
        <v>46054</v>
      </c>
      <c r="C415" t="s">
        <v>95</v>
      </c>
      <c r="D415" t="s">
        <v>59</v>
      </c>
      <c r="E415" t="s">
        <v>37</v>
      </c>
      <c r="F415">
        <v>112</v>
      </c>
      <c r="G415">
        <v>187.93</v>
      </c>
      <c r="H415">
        <v>46107</v>
      </c>
      <c r="I415">
        <v>46107</v>
      </c>
      <c r="J415" t="s">
        <v>20</v>
      </c>
      <c r="K415" t="s">
        <v>21</v>
      </c>
      <c r="L415" t="s">
        <v>45</v>
      </c>
      <c r="M415">
        <f t="shared" si="12"/>
        <v>21048.16</v>
      </c>
      <c r="N415">
        <f t="shared" si="13"/>
        <v>53</v>
      </c>
      <c r="O415" t="str">
        <f ca="1">IFERROR((G415-_xludf.XLOOKUP(D415,Articles!A:A,Articles!D:D))/_xludf.XLOOKUP(D415,Articles!A:A,Articles!D:D),"")</f>
        <v/>
      </c>
      <c r="P415" t="s">
        <v>29</v>
      </c>
    </row>
    <row r="416" spans="1:16" x14ac:dyDescent="0.3">
      <c r="A416" t="s">
        <v>538</v>
      </c>
      <c r="B416">
        <v>45974</v>
      </c>
      <c r="C416" t="s">
        <v>123</v>
      </c>
      <c r="D416" t="s">
        <v>212</v>
      </c>
      <c r="E416" t="s">
        <v>27</v>
      </c>
      <c r="F416">
        <v>-10</v>
      </c>
      <c r="G416">
        <v>471.52</v>
      </c>
      <c r="H416">
        <v>45999</v>
      </c>
      <c r="I416">
        <v>45999</v>
      </c>
      <c r="J416" t="s">
        <v>20</v>
      </c>
      <c r="K416" t="s">
        <v>21</v>
      </c>
      <c r="L416" t="s">
        <v>22</v>
      </c>
      <c r="M416">
        <f t="shared" si="12"/>
        <v>-4715.2</v>
      </c>
      <c r="N416">
        <f t="shared" si="13"/>
        <v>25</v>
      </c>
      <c r="O416" t="str">
        <f ca="1">IFERROR((G416-_xludf.XLOOKUP(D416,Articles!A:A,Articles!D:D))/_xludf.XLOOKUP(D416,Articles!A:A,Articles!D:D),"")</f>
        <v/>
      </c>
      <c r="P416" t="s">
        <v>29</v>
      </c>
    </row>
    <row r="417" spans="1:16" x14ac:dyDescent="0.3">
      <c r="A417" t="s">
        <v>539</v>
      </c>
      <c r="B417">
        <v>45909</v>
      </c>
      <c r="C417" t="s">
        <v>43</v>
      </c>
      <c r="D417" t="s">
        <v>173</v>
      </c>
      <c r="E417" t="s">
        <v>19</v>
      </c>
      <c r="F417">
        <v>201</v>
      </c>
      <c r="G417">
        <v>225.27</v>
      </c>
      <c r="H417">
        <v>45974</v>
      </c>
      <c r="J417" t="s">
        <v>20</v>
      </c>
      <c r="K417" t="s">
        <v>21</v>
      </c>
      <c r="L417" t="s">
        <v>28</v>
      </c>
      <c r="M417">
        <f t="shared" si="12"/>
        <v>45279.270000000004</v>
      </c>
      <c r="N417" t="str">
        <f t="shared" si="13"/>
        <v/>
      </c>
      <c r="O417" t="str">
        <f ca="1">IFERROR((G417-_xludf.XLOOKUP(D417,Articles!A:A,Articles!D:D))/_xludf.XLOOKUP(D417,Articles!A:A,Articles!D:D),"")</f>
        <v/>
      </c>
      <c r="P417" t="s">
        <v>29</v>
      </c>
    </row>
    <row r="418" spans="1:16" x14ac:dyDescent="0.3">
      <c r="A418" t="s">
        <v>540</v>
      </c>
      <c r="B418">
        <v>45941</v>
      </c>
      <c r="C418" t="s">
        <v>80</v>
      </c>
      <c r="D418" t="s">
        <v>222</v>
      </c>
      <c r="E418" t="s">
        <v>27</v>
      </c>
      <c r="F418">
        <v>0</v>
      </c>
      <c r="G418">
        <v>334.98</v>
      </c>
      <c r="H418">
        <v>45975</v>
      </c>
      <c r="I418">
        <v>45977</v>
      </c>
      <c r="J418" t="s">
        <v>20</v>
      </c>
      <c r="K418" t="s">
        <v>21</v>
      </c>
      <c r="L418" t="s">
        <v>22</v>
      </c>
      <c r="M418">
        <f t="shared" si="12"/>
        <v>0</v>
      </c>
      <c r="N418">
        <f t="shared" si="13"/>
        <v>36</v>
      </c>
      <c r="O418" t="str">
        <f ca="1">IFERROR((G418-_xludf.XLOOKUP(D418,Articles!A:A,Articles!D:D))/_xludf.XLOOKUP(D418,Articles!A:A,Articles!D:D),"")</f>
        <v/>
      </c>
      <c r="P418" t="s">
        <v>29</v>
      </c>
    </row>
    <row r="419" spans="1:16" x14ac:dyDescent="0.3">
      <c r="A419" t="s">
        <v>541</v>
      </c>
      <c r="B419">
        <v>45924</v>
      </c>
      <c r="C419" t="s">
        <v>39</v>
      </c>
      <c r="D419" t="s">
        <v>65</v>
      </c>
      <c r="E419" t="s">
        <v>27</v>
      </c>
      <c r="F419">
        <v>141</v>
      </c>
      <c r="G419">
        <v>208.4</v>
      </c>
      <c r="H419">
        <v>45939</v>
      </c>
      <c r="I419">
        <v>45941</v>
      </c>
      <c r="J419" t="s">
        <v>20</v>
      </c>
      <c r="K419" t="s">
        <v>21</v>
      </c>
      <c r="L419" t="s">
        <v>22</v>
      </c>
      <c r="M419">
        <f t="shared" si="12"/>
        <v>29384.400000000001</v>
      </c>
      <c r="N419">
        <f t="shared" si="13"/>
        <v>17</v>
      </c>
      <c r="O419" t="str">
        <f ca="1">IFERROR((G419-_xludf.XLOOKUP(D419,Articles!A:A,Articles!D:D))/_xludf.XLOOKUP(D419,Articles!A:A,Articles!D:D),"")</f>
        <v/>
      </c>
      <c r="P419" t="s">
        <v>34</v>
      </c>
    </row>
    <row r="420" spans="1:16" x14ac:dyDescent="0.3">
      <c r="A420" t="s">
        <v>542</v>
      </c>
      <c r="B420">
        <v>46004</v>
      </c>
      <c r="C420" t="s">
        <v>543</v>
      </c>
      <c r="D420" t="s">
        <v>294</v>
      </c>
      <c r="E420" t="s">
        <v>19</v>
      </c>
      <c r="F420">
        <v>148</v>
      </c>
      <c r="G420">
        <v>354.25</v>
      </c>
      <c r="H420">
        <v>46037</v>
      </c>
      <c r="I420">
        <v>46041</v>
      </c>
      <c r="J420" t="s">
        <v>20</v>
      </c>
      <c r="K420" t="s">
        <v>21</v>
      </c>
      <c r="L420" t="s">
        <v>33</v>
      </c>
      <c r="M420">
        <f t="shared" si="12"/>
        <v>52429</v>
      </c>
      <c r="N420">
        <f t="shared" si="13"/>
        <v>37</v>
      </c>
      <c r="O420" t="str">
        <f ca="1">IFERROR((G420-_xludf.XLOOKUP(D420,Articles!A:A,Articles!D:D))/_xludf.XLOOKUP(D420,Articles!A:A,Articles!D:D),"")</f>
        <v/>
      </c>
      <c r="P420" t="s">
        <v>29</v>
      </c>
    </row>
    <row r="421" spans="1:16" x14ac:dyDescent="0.3">
      <c r="A421" t="s">
        <v>544</v>
      </c>
      <c r="B421">
        <v>45966</v>
      </c>
      <c r="C421" t="s">
        <v>123</v>
      </c>
      <c r="D421" t="s">
        <v>110</v>
      </c>
      <c r="E421" t="s">
        <v>37</v>
      </c>
      <c r="F421">
        <v>225</v>
      </c>
      <c r="G421">
        <v>426.29</v>
      </c>
      <c r="H421">
        <v>46014</v>
      </c>
      <c r="I421">
        <v>46029</v>
      </c>
      <c r="J421" t="s">
        <v>20</v>
      </c>
      <c r="K421" t="s">
        <v>21</v>
      </c>
      <c r="L421" t="s">
        <v>28</v>
      </c>
      <c r="M421">
        <f t="shared" si="12"/>
        <v>95915.25</v>
      </c>
      <c r="N421">
        <f t="shared" si="13"/>
        <v>63</v>
      </c>
      <c r="O421" t="str">
        <f ca="1">IFERROR((G421-_xludf.XLOOKUP(D421,Articles!A:A,Articles!D:D))/_xludf.XLOOKUP(D421,Articles!A:A,Articles!D:D),"")</f>
        <v/>
      </c>
      <c r="P421" t="s">
        <v>23</v>
      </c>
    </row>
    <row r="422" spans="1:16" x14ac:dyDescent="0.3">
      <c r="A422" t="s">
        <v>545</v>
      </c>
      <c r="B422">
        <v>46075</v>
      </c>
      <c r="C422" t="s">
        <v>95</v>
      </c>
      <c r="D422" t="s">
        <v>130</v>
      </c>
      <c r="E422" t="s">
        <v>27</v>
      </c>
      <c r="F422">
        <v>118</v>
      </c>
      <c r="G422">
        <v>288.5</v>
      </c>
      <c r="H422">
        <v>46098</v>
      </c>
      <c r="I422">
        <v>46105</v>
      </c>
      <c r="J422" t="s">
        <v>41</v>
      </c>
      <c r="K422" t="s">
        <v>21</v>
      </c>
      <c r="L422" t="s">
        <v>28</v>
      </c>
      <c r="M422">
        <f t="shared" si="12"/>
        <v>34043</v>
      </c>
      <c r="N422">
        <f t="shared" si="13"/>
        <v>30</v>
      </c>
      <c r="O422" t="str">
        <f ca="1">IFERROR((G422-_xludf.XLOOKUP(D422,Articles!A:A,Articles!D:D))/_xludf.XLOOKUP(D422,Articles!A:A,Articles!D:D),"")</f>
        <v/>
      </c>
      <c r="P422" t="s">
        <v>23</v>
      </c>
    </row>
    <row r="423" spans="1:16" x14ac:dyDescent="0.3">
      <c r="A423" t="s">
        <v>546</v>
      </c>
      <c r="B423">
        <v>45991</v>
      </c>
      <c r="C423" t="s">
        <v>17</v>
      </c>
      <c r="D423" t="s">
        <v>26</v>
      </c>
      <c r="E423" t="s">
        <v>19</v>
      </c>
      <c r="F423">
        <v>0</v>
      </c>
      <c r="G423">
        <v>405.8</v>
      </c>
      <c r="H423">
        <v>46013</v>
      </c>
      <c r="I423">
        <v>46013</v>
      </c>
      <c r="J423" t="s">
        <v>20</v>
      </c>
      <c r="K423" t="s">
        <v>21</v>
      </c>
      <c r="L423" t="s">
        <v>48</v>
      </c>
      <c r="M423">
        <f t="shared" si="12"/>
        <v>0</v>
      </c>
      <c r="N423">
        <f t="shared" si="13"/>
        <v>22</v>
      </c>
      <c r="O423" t="str">
        <f ca="1">IFERROR((G423-_xludf.XLOOKUP(D423,Articles!A:A,Articles!D:D))/_xludf.XLOOKUP(D423,Articles!A:A,Articles!D:D),"")</f>
        <v/>
      </c>
      <c r="P423" t="s">
        <v>29</v>
      </c>
    </row>
    <row r="424" spans="1:16" x14ac:dyDescent="0.3">
      <c r="A424" t="s">
        <v>547</v>
      </c>
      <c r="B424">
        <v>46022</v>
      </c>
      <c r="C424" t="s">
        <v>87</v>
      </c>
      <c r="D424" t="s">
        <v>51</v>
      </c>
      <c r="E424" t="s">
        <v>27</v>
      </c>
      <c r="F424">
        <v>81</v>
      </c>
      <c r="G424">
        <v>289.48</v>
      </c>
      <c r="H424">
        <v>46056</v>
      </c>
      <c r="I424">
        <v>46057</v>
      </c>
      <c r="J424" t="s">
        <v>41</v>
      </c>
      <c r="K424" t="s">
        <v>21</v>
      </c>
      <c r="L424" t="s">
        <v>45</v>
      </c>
      <c r="M424">
        <f t="shared" si="12"/>
        <v>23447.88</v>
      </c>
      <c r="N424">
        <f t="shared" si="13"/>
        <v>35</v>
      </c>
      <c r="O424" t="str">
        <f ca="1">IFERROR((G424-_xludf.XLOOKUP(D424,Articles!A:A,Articles!D:D))/_xludf.XLOOKUP(D424,Articles!A:A,Articles!D:D),"")</f>
        <v/>
      </c>
      <c r="P424" t="s">
        <v>29</v>
      </c>
    </row>
    <row r="425" spans="1:16" x14ac:dyDescent="0.3">
      <c r="A425" t="s">
        <v>548</v>
      </c>
      <c r="B425">
        <v>46089</v>
      </c>
      <c r="C425" t="s">
        <v>50</v>
      </c>
      <c r="D425" t="s">
        <v>294</v>
      </c>
      <c r="E425" t="s">
        <v>19</v>
      </c>
      <c r="F425">
        <v>62</v>
      </c>
      <c r="G425">
        <v>462.61</v>
      </c>
      <c r="H425">
        <v>46123</v>
      </c>
      <c r="I425">
        <v>46123</v>
      </c>
      <c r="J425" t="s">
        <v>41</v>
      </c>
      <c r="K425" t="s">
        <v>21</v>
      </c>
      <c r="L425" t="s">
        <v>28</v>
      </c>
      <c r="M425">
        <f t="shared" si="12"/>
        <v>28681.82</v>
      </c>
      <c r="N425">
        <f t="shared" si="13"/>
        <v>34</v>
      </c>
      <c r="O425" t="str">
        <f ca="1">IFERROR((G425-_xludf.XLOOKUP(D425,Articles!A:A,Articles!D:D))/_xludf.XLOOKUP(D425,Articles!A:A,Articles!D:D),"")</f>
        <v/>
      </c>
      <c r="P425" t="s">
        <v>29</v>
      </c>
    </row>
    <row r="426" spans="1:16" x14ac:dyDescent="0.3">
      <c r="A426" t="s">
        <v>549</v>
      </c>
      <c r="B426">
        <v>45921</v>
      </c>
      <c r="C426" t="s">
        <v>25</v>
      </c>
      <c r="D426" t="s">
        <v>145</v>
      </c>
      <c r="E426" t="s">
        <v>56</v>
      </c>
      <c r="F426">
        <v>174</v>
      </c>
      <c r="G426">
        <v>267.43</v>
      </c>
      <c r="H426">
        <v>45948</v>
      </c>
      <c r="I426">
        <v>45945</v>
      </c>
      <c r="J426" t="s">
        <v>20</v>
      </c>
      <c r="K426" t="s">
        <v>21</v>
      </c>
      <c r="L426" t="s">
        <v>45</v>
      </c>
      <c r="M426">
        <f t="shared" si="12"/>
        <v>46532.82</v>
      </c>
      <c r="N426">
        <f t="shared" si="13"/>
        <v>24</v>
      </c>
      <c r="O426" t="str">
        <f ca="1">IFERROR((G426-_xludf.XLOOKUP(D426,Articles!A:A,Articles!D:D))/_xludf.XLOOKUP(D426,Articles!A:A,Articles!D:D),"")</f>
        <v/>
      </c>
      <c r="P426" t="s">
        <v>29</v>
      </c>
    </row>
    <row r="427" spans="1:16" x14ac:dyDescent="0.3">
      <c r="A427" t="s">
        <v>550</v>
      </c>
      <c r="B427">
        <v>45981</v>
      </c>
      <c r="C427" t="s">
        <v>114</v>
      </c>
      <c r="D427" t="s">
        <v>98</v>
      </c>
      <c r="E427" t="s">
        <v>19</v>
      </c>
      <c r="F427">
        <v>127</v>
      </c>
      <c r="G427">
        <v>380.97</v>
      </c>
      <c r="H427">
        <v>45997</v>
      </c>
      <c r="I427">
        <v>46022</v>
      </c>
      <c r="J427" t="s">
        <v>20</v>
      </c>
      <c r="K427" t="s">
        <v>21</v>
      </c>
      <c r="L427" t="s">
        <v>45</v>
      </c>
      <c r="M427">
        <f t="shared" si="12"/>
        <v>48383.19</v>
      </c>
      <c r="N427">
        <f t="shared" si="13"/>
        <v>41</v>
      </c>
      <c r="O427" t="str">
        <f ca="1">IFERROR((G427-_xludf.XLOOKUP(D427,Articles!A:A,Articles!D:D))/_xludf.XLOOKUP(D427,Articles!A:A,Articles!D:D),"")</f>
        <v/>
      </c>
      <c r="P427" t="s">
        <v>23</v>
      </c>
    </row>
    <row r="428" spans="1:16" x14ac:dyDescent="0.3">
      <c r="A428" t="s">
        <v>551</v>
      </c>
      <c r="B428">
        <v>45933</v>
      </c>
      <c r="C428" t="s">
        <v>75</v>
      </c>
      <c r="D428" t="s">
        <v>44</v>
      </c>
      <c r="E428" t="s">
        <v>19</v>
      </c>
      <c r="F428">
        <v>14</v>
      </c>
      <c r="G428">
        <v>103.27</v>
      </c>
      <c r="H428">
        <v>45967</v>
      </c>
      <c r="I428">
        <v>45974</v>
      </c>
      <c r="J428" t="s">
        <v>62</v>
      </c>
      <c r="K428" t="s">
        <v>21</v>
      </c>
      <c r="L428" t="s">
        <v>45</v>
      </c>
      <c r="M428">
        <f t="shared" si="12"/>
        <v>1445.78</v>
      </c>
      <c r="N428">
        <f t="shared" si="13"/>
        <v>41</v>
      </c>
      <c r="O428" t="str">
        <f ca="1">IFERROR((G428-_xludf.XLOOKUP(D428,Articles!A:A,Articles!D:D))/_xludf.XLOOKUP(D428,Articles!A:A,Articles!D:D),"")</f>
        <v/>
      </c>
      <c r="P428" t="s">
        <v>23</v>
      </c>
    </row>
    <row r="429" spans="1:16" x14ac:dyDescent="0.3">
      <c r="A429" t="s">
        <v>552</v>
      </c>
      <c r="B429">
        <v>46018</v>
      </c>
      <c r="C429" t="s">
        <v>87</v>
      </c>
      <c r="D429" t="s">
        <v>155</v>
      </c>
      <c r="E429" t="s">
        <v>27</v>
      </c>
      <c r="F429">
        <v>250</v>
      </c>
      <c r="G429">
        <v>222.05</v>
      </c>
      <c r="H429">
        <v>46079</v>
      </c>
      <c r="I429">
        <v>46086</v>
      </c>
      <c r="J429" t="s">
        <v>20</v>
      </c>
      <c r="K429" t="s">
        <v>21</v>
      </c>
      <c r="L429" t="s">
        <v>45</v>
      </c>
      <c r="M429">
        <f t="shared" si="12"/>
        <v>55512.5</v>
      </c>
      <c r="N429">
        <f t="shared" si="13"/>
        <v>68</v>
      </c>
      <c r="O429" t="str">
        <f ca="1">IFERROR((G429-_xludf.XLOOKUP(D429,Articles!A:A,Articles!D:D))/_xludf.XLOOKUP(D429,Articles!A:A,Articles!D:D),"")</f>
        <v/>
      </c>
      <c r="P429" t="s">
        <v>29</v>
      </c>
    </row>
    <row r="430" spans="1:16" x14ac:dyDescent="0.3">
      <c r="A430" t="s">
        <v>553</v>
      </c>
      <c r="B430">
        <v>45984</v>
      </c>
      <c r="C430" t="s">
        <v>25</v>
      </c>
      <c r="D430" t="s">
        <v>81</v>
      </c>
      <c r="E430" t="s">
        <v>37</v>
      </c>
      <c r="F430">
        <v>93</v>
      </c>
      <c r="G430">
        <v>430.72</v>
      </c>
      <c r="H430">
        <v>46041</v>
      </c>
      <c r="I430">
        <v>46041</v>
      </c>
      <c r="J430" t="s">
        <v>20</v>
      </c>
      <c r="K430" t="s">
        <v>21</v>
      </c>
      <c r="L430" t="s">
        <v>22</v>
      </c>
      <c r="M430">
        <f t="shared" si="12"/>
        <v>40056.959999999999</v>
      </c>
      <c r="N430">
        <f t="shared" si="13"/>
        <v>57</v>
      </c>
      <c r="O430" t="str">
        <f ca="1">IFERROR((G430-_xludf.XLOOKUP(D430,Articles!A:A,Articles!D:D))/_xludf.XLOOKUP(D430,Articles!A:A,Articles!D:D),"")</f>
        <v/>
      </c>
      <c r="P430" t="s">
        <v>29</v>
      </c>
    </row>
    <row r="431" spans="1:16" x14ac:dyDescent="0.3">
      <c r="A431" t="s">
        <v>554</v>
      </c>
      <c r="B431">
        <v>45948</v>
      </c>
      <c r="C431" t="s">
        <v>64</v>
      </c>
      <c r="D431" t="s">
        <v>130</v>
      </c>
      <c r="E431" t="s">
        <v>37</v>
      </c>
      <c r="F431">
        <v>128</v>
      </c>
      <c r="G431">
        <v>345.57</v>
      </c>
      <c r="H431">
        <v>45977</v>
      </c>
      <c r="I431">
        <v>45979</v>
      </c>
      <c r="J431" t="s">
        <v>20</v>
      </c>
      <c r="K431" t="s">
        <v>21</v>
      </c>
      <c r="L431" t="s">
        <v>28</v>
      </c>
      <c r="M431">
        <f t="shared" si="12"/>
        <v>44232.959999999999</v>
      </c>
      <c r="N431">
        <f t="shared" si="13"/>
        <v>31</v>
      </c>
      <c r="O431" t="str">
        <f ca="1">IFERROR((G431-_xludf.XLOOKUP(D431,Articles!A:A,Articles!D:D))/_xludf.XLOOKUP(D431,Articles!A:A,Articles!D:D),"")</f>
        <v/>
      </c>
      <c r="P431" t="s">
        <v>29</v>
      </c>
    </row>
    <row r="432" spans="1:16" x14ac:dyDescent="0.3">
      <c r="A432" t="s">
        <v>555</v>
      </c>
      <c r="B432">
        <v>46048</v>
      </c>
      <c r="C432" t="s">
        <v>158</v>
      </c>
      <c r="D432" t="s">
        <v>112</v>
      </c>
      <c r="E432" t="s">
        <v>37</v>
      </c>
      <c r="F432">
        <v>176</v>
      </c>
      <c r="G432">
        <v>403.69</v>
      </c>
      <c r="H432">
        <v>46103</v>
      </c>
      <c r="I432">
        <v>46104</v>
      </c>
      <c r="J432" t="s">
        <v>62</v>
      </c>
      <c r="K432" t="s">
        <v>21</v>
      </c>
      <c r="L432" t="s">
        <v>28</v>
      </c>
      <c r="M432">
        <f t="shared" si="12"/>
        <v>71049.440000000002</v>
      </c>
      <c r="N432">
        <f t="shared" si="13"/>
        <v>56</v>
      </c>
      <c r="O432" t="str">
        <f ca="1">IFERROR((G432-_xludf.XLOOKUP(D432,Articles!A:A,Articles!D:D))/_xludf.XLOOKUP(D432,Articles!A:A,Articles!D:D),"")</f>
        <v/>
      </c>
      <c r="P432" t="s">
        <v>29</v>
      </c>
    </row>
    <row r="433" spans="1:16" x14ac:dyDescent="0.3">
      <c r="A433" t="s">
        <v>556</v>
      </c>
      <c r="B433">
        <v>46022</v>
      </c>
      <c r="C433" t="s">
        <v>158</v>
      </c>
      <c r="D433" t="s">
        <v>59</v>
      </c>
      <c r="E433" t="s">
        <v>19</v>
      </c>
      <c r="F433">
        <v>207</v>
      </c>
      <c r="G433">
        <v>182.88</v>
      </c>
      <c r="H433">
        <v>46077</v>
      </c>
      <c r="I433">
        <v>46092</v>
      </c>
      <c r="J433" t="s">
        <v>41</v>
      </c>
      <c r="K433" t="s">
        <v>21</v>
      </c>
      <c r="L433" t="s">
        <v>45</v>
      </c>
      <c r="M433">
        <f t="shared" si="12"/>
        <v>37856.159999999996</v>
      </c>
      <c r="N433">
        <f t="shared" si="13"/>
        <v>70</v>
      </c>
      <c r="O433" t="str">
        <f ca="1">IFERROR((G433-_xludf.XLOOKUP(D433,Articles!A:A,Articles!D:D))/_xludf.XLOOKUP(D433,Articles!A:A,Articles!D:D),"")</f>
        <v/>
      </c>
      <c r="P433" t="s">
        <v>34</v>
      </c>
    </row>
    <row r="434" spans="1:16" x14ac:dyDescent="0.3">
      <c r="A434" t="s">
        <v>557</v>
      </c>
      <c r="B434">
        <v>46044</v>
      </c>
      <c r="C434" t="s">
        <v>67</v>
      </c>
      <c r="D434" t="s">
        <v>121</v>
      </c>
      <c r="E434" t="s">
        <v>19</v>
      </c>
      <c r="F434">
        <v>220</v>
      </c>
      <c r="G434">
        <v>91.96</v>
      </c>
      <c r="H434">
        <v>46091</v>
      </c>
      <c r="I434">
        <v>46090</v>
      </c>
      <c r="J434" t="s">
        <v>20</v>
      </c>
      <c r="K434" t="s">
        <v>21</v>
      </c>
      <c r="L434" t="s">
        <v>45</v>
      </c>
      <c r="M434">
        <f t="shared" si="12"/>
        <v>20231.199999999997</v>
      </c>
      <c r="N434">
        <f t="shared" si="13"/>
        <v>46</v>
      </c>
      <c r="O434" t="str">
        <f ca="1">IFERROR((G434-_xludf.XLOOKUP(D434,Articles!A:A,Articles!D:D))/_xludf.XLOOKUP(D434,Articles!A:A,Articles!D:D),"")</f>
        <v/>
      </c>
      <c r="P434" t="s">
        <v>29</v>
      </c>
    </row>
    <row r="435" spans="1:16" x14ac:dyDescent="0.3">
      <c r="A435" t="s">
        <v>558</v>
      </c>
      <c r="B435">
        <v>46016</v>
      </c>
      <c r="C435" t="s">
        <v>25</v>
      </c>
      <c r="D435" t="s">
        <v>100</v>
      </c>
      <c r="E435" t="s">
        <v>19</v>
      </c>
      <c r="F435">
        <v>191</v>
      </c>
      <c r="G435">
        <v>88.73</v>
      </c>
      <c r="H435">
        <v>46045</v>
      </c>
      <c r="I435">
        <v>46047</v>
      </c>
      <c r="J435" t="s">
        <v>20</v>
      </c>
      <c r="K435" t="s">
        <v>21</v>
      </c>
      <c r="L435" t="s">
        <v>33</v>
      </c>
      <c r="M435">
        <f t="shared" si="12"/>
        <v>16947.43</v>
      </c>
      <c r="N435">
        <f t="shared" si="13"/>
        <v>31</v>
      </c>
      <c r="O435" t="str">
        <f ca="1">IFERROR((G435-_xludf.XLOOKUP(D435,Articles!A:A,Articles!D:D))/_xludf.XLOOKUP(D435,Articles!A:A,Articles!D:D),"")</f>
        <v/>
      </c>
      <c r="P435" t="s">
        <v>23</v>
      </c>
    </row>
    <row r="436" spans="1:16" x14ac:dyDescent="0.3">
      <c r="A436" t="s">
        <v>559</v>
      </c>
      <c r="B436">
        <v>45932</v>
      </c>
      <c r="C436" t="s">
        <v>17</v>
      </c>
      <c r="D436" t="s">
        <v>209</v>
      </c>
      <c r="E436" t="s">
        <v>27</v>
      </c>
      <c r="F436">
        <v>90</v>
      </c>
      <c r="G436">
        <v>398.44</v>
      </c>
      <c r="H436">
        <v>45960</v>
      </c>
      <c r="I436">
        <v>45960</v>
      </c>
      <c r="J436" t="s">
        <v>20</v>
      </c>
      <c r="K436" t="s">
        <v>21</v>
      </c>
      <c r="L436" t="s">
        <v>33</v>
      </c>
      <c r="M436">
        <f t="shared" si="12"/>
        <v>35859.599999999999</v>
      </c>
      <c r="N436">
        <f t="shared" si="13"/>
        <v>28</v>
      </c>
      <c r="O436" t="str">
        <f ca="1">IFERROR((G436-_xludf.XLOOKUP(D436,Articles!A:A,Articles!D:D))/_xludf.XLOOKUP(D436,Articles!A:A,Articles!D:D),"")</f>
        <v/>
      </c>
      <c r="P436" t="s">
        <v>29</v>
      </c>
    </row>
    <row r="437" spans="1:16" x14ac:dyDescent="0.3">
      <c r="A437" t="s">
        <v>560</v>
      </c>
      <c r="B437">
        <v>46073</v>
      </c>
      <c r="C437" t="s">
        <v>85</v>
      </c>
      <c r="D437" t="s">
        <v>148</v>
      </c>
      <c r="E437" t="s">
        <v>27</v>
      </c>
      <c r="F437">
        <v>131</v>
      </c>
      <c r="G437">
        <v>113.07</v>
      </c>
      <c r="H437">
        <v>46108</v>
      </c>
      <c r="I437">
        <v>46107</v>
      </c>
      <c r="J437" t="s">
        <v>20</v>
      </c>
      <c r="K437" t="s">
        <v>21</v>
      </c>
      <c r="L437" t="s">
        <v>28</v>
      </c>
      <c r="M437">
        <f t="shared" si="12"/>
        <v>14812.169999999998</v>
      </c>
      <c r="N437">
        <f t="shared" si="13"/>
        <v>34</v>
      </c>
      <c r="O437" t="str">
        <f ca="1">IFERROR((G437-_xludf.XLOOKUP(D437,Articles!A:A,Articles!D:D))/_xludf.XLOOKUP(D437,Articles!A:A,Articles!D:D),"")</f>
        <v/>
      </c>
      <c r="P437" t="s">
        <v>29</v>
      </c>
    </row>
    <row r="438" spans="1:16" x14ac:dyDescent="0.3">
      <c r="A438" t="s">
        <v>561</v>
      </c>
      <c r="B438">
        <v>46008</v>
      </c>
      <c r="C438" t="s">
        <v>85</v>
      </c>
      <c r="D438" t="s">
        <v>100</v>
      </c>
      <c r="E438" t="s">
        <v>19</v>
      </c>
      <c r="F438">
        <v>162</v>
      </c>
      <c r="G438">
        <v>124.59</v>
      </c>
      <c r="H438">
        <v>46038</v>
      </c>
      <c r="I438">
        <v>46037</v>
      </c>
      <c r="J438" t="s">
        <v>41</v>
      </c>
      <c r="K438" t="s">
        <v>21</v>
      </c>
      <c r="L438" t="s">
        <v>33</v>
      </c>
      <c r="M438">
        <f t="shared" si="12"/>
        <v>20183.580000000002</v>
      </c>
      <c r="N438">
        <f t="shared" si="13"/>
        <v>29</v>
      </c>
      <c r="O438" t="str">
        <f ca="1">IFERROR((G438-_xludf.XLOOKUP(D438,Articles!A:A,Articles!D:D))/_xludf.XLOOKUP(D438,Articles!A:A,Articles!D:D),"")</f>
        <v/>
      </c>
      <c r="P438" t="s">
        <v>29</v>
      </c>
    </row>
    <row r="439" spans="1:16" x14ac:dyDescent="0.3">
      <c r="A439" t="s">
        <v>562</v>
      </c>
      <c r="B439">
        <v>46082</v>
      </c>
      <c r="C439" t="s">
        <v>25</v>
      </c>
      <c r="D439" t="s">
        <v>222</v>
      </c>
      <c r="E439" t="s">
        <v>19</v>
      </c>
      <c r="F439">
        <v>69</v>
      </c>
      <c r="G439">
        <v>300.75</v>
      </c>
      <c r="H439">
        <v>46116</v>
      </c>
      <c r="I439">
        <v>46117</v>
      </c>
      <c r="J439" t="s">
        <v>62</v>
      </c>
      <c r="K439" t="s">
        <v>21</v>
      </c>
      <c r="L439" t="s">
        <v>22</v>
      </c>
      <c r="M439">
        <f t="shared" si="12"/>
        <v>20751.75</v>
      </c>
      <c r="N439">
        <f t="shared" si="13"/>
        <v>35</v>
      </c>
      <c r="O439" t="str">
        <f ca="1">IFERROR((G439-_xludf.XLOOKUP(D439,Articles!A:A,Articles!D:D))/_xludf.XLOOKUP(D439,Articles!A:A,Articles!D:D),"")</f>
        <v/>
      </c>
      <c r="P439" t="s">
        <v>34</v>
      </c>
    </row>
    <row r="440" spans="1:16" x14ac:dyDescent="0.3">
      <c r="A440" t="s">
        <v>563</v>
      </c>
      <c r="B440">
        <v>46006</v>
      </c>
      <c r="C440" t="s">
        <v>75</v>
      </c>
      <c r="D440" t="s">
        <v>317</v>
      </c>
      <c r="E440" t="s">
        <v>56</v>
      </c>
      <c r="F440">
        <v>43</v>
      </c>
      <c r="G440">
        <v>154.96</v>
      </c>
      <c r="H440">
        <v>46044</v>
      </c>
      <c r="I440">
        <v>46044</v>
      </c>
      <c r="J440" t="s">
        <v>20</v>
      </c>
      <c r="K440" t="s">
        <v>21</v>
      </c>
      <c r="L440" t="s">
        <v>28</v>
      </c>
      <c r="M440">
        <f t="shared" si="12"/>
        <v>6663.2800000000007</v>
      </c>
      <c r="N440">
        <f t="shared" si="13"/>
        <v>38</v>
      </c>
      <c r="O440" t="str">
        <f ca="1">IFERROR((G440-_xludf.XLOOKUP(D440,Articles!A:A,Articles!D:D))/_xludf.XLOOKUP(D440,Articles!A:A,Articles!D:D),"")</f>
        <v/>
      </c>
      <c r="P440" t="s">
        <v>29</v>
      </c>
    </row>
    <row r="441" spans="1:16" x14ac:dyDescent="0.3">
      <c r="A441" t="s">
        <v>564</v>
      </c>
      <c r="B441">
        <v>45927</v>
      </c>
      <c r="C441" t="s">
        <v>31</v>
      </c>
      <c r="D441" t="s">
        <v>186</v>
      </c>
      <c r="E441" t="s">
        <v>56</v>
      </c>
      <c r="F441">
        <v>25</v>
      </c>
      <c r="G441">
        <v>137.30000000000001</v>
      </c>
      <c r="H441">
        <v>45992</v>
      </c>
      <c r="I441">
        <v>45999</v>
      </c>
      <c r="J441" t="s">
        <v>41</v>
      </c>
      <c r="K441" t="s">
        <v>21</v>
      </c>
      <c r="L441" t="s">
        <v>48</v>
      </c>
      <c r="M441">
        <f t="shared" si="12"/>
        <v>3432.5000000000005</v>
      </c>
      <c r="N441">
        <f t="shared" si="13"/>
        <v>72</v>
      </c>
      <c r="O441" t="str">
        <f ca="1">IFERROR((G441-_xludf.XLOOKUP(D441,Articles!A:A,Articles!D:D))/_xludf.XLOOKUP(D441,Articles!A:A,Articles!D:D),"")</f>
        <v/>
      </c>
      <c r="P441" t="s">
        <v>34</v>
      </c>
    </row>
    <row r="442" spans="1:16" x14ac:dyDescent="0.3">
      <c r="A442" t="s">
        <v>565</v>
      </c>
      <c r="B442">
        <v>45940</v>
      </c>
      <c r="C442" t="s">
        <v>114</v>
      </c>
      <c r="D442" t="s">
        <v>239</v>
      </c>
      <c r="E442" t="s">
        <v>37</v>
      </c>
      <c r="F442">
        <v>22</v>
      </c>
      <c r="G442">
        <v>346.25</v>
      </c>
      <c r="H442">
        <v>45999</v>
      </c>
      <c r="I442">
        <v>46013</v>
      </c>
      <c r="J442" t="s">
        <v>41</v>
      </c>
      <c r="K442" t="s">
        <v>21</v>
      </c>
      <c r="L442" t="s">
        <v>28</v>
      </c>
      <c r="M442">
        <f t="shared" si="12"/>
        <v>7617.5</v>
      </c>
      <c r="N442">
        <f t="shared" si="13"/>
        <v>73</v>
      </c>
      <c r="O442" t="str">
        <f ca="1">IFERROR((G442-_xludf.XLOOKUP(D442,Articles!A:A,Articles!D:D))/_xludf.XLOOKUP(D442,Articles!A:A,Articles!D:D),"")</f>
        <v/>
      </c>
      <c r="P442" t="s">
        <v>29</v>
      </c>
    </row>
    <row r="443" spans="1:16" x14ac:dyDescent="0.3">
      <c r="A443" t="s">
        <v>566</v>
      </c>
      <c r="B443">
        <v>46115</v>
      </c>
      <c r="C443" t="s">
        <v>123</v>
      </c>
      <c r="D443" t="s">
        <v>206</v>
      </c>
      <c r="E443" t="s">
        <v>37</v>
      </c>
      <c r="F443">
        <v>44</v>
      </c>
      <c r="G443">
        <v>161.34</v>
      </c>
      <c r="H443">
        <v>46134</v>
      </c>
      <c r="I443">
        <v>46136</v>
      </c>
      <c r="J443" t="s">
        <v>62</v>
      </c>
      <c r="K443" t="s">
        <v>21</v>
      </c>
      <c r="L443" t="s">
        <v>45</v>
      </c>
      <c r="M443">
        <f t="shared" si="12"/>
        <v>7098.96</v>
      </c>
      <c r="N443">
        <f t="shared" si="13"/>
        <v>21</v>
      </c>
      <c r="O443" t="str">
        <f ca="1">IFERROR((G443-_xludf.XLOOKUP(D443,Articles!A:A,Articles!D:D))/_xludf.XLOOKUP(D443,Articles!A:A,Articles!D:D),"")</f>
        <v/>
      </c>
      <c r="P443" t="s">
        <v>29</v>
      </c>
    </row>
    <row r="444" spans="1:16" x14ac:dyDescent="0.3">
      <c r="A444" t="s">
        <v>567</v>
      </c>
      <c r="B444">
        <v>46041</v>
      </c>
      <c r="C444" t="s">
        <v>67</v>
      </c>
      <c r="D444" t="s">
        <v>69</v>
      </c>
      <c r="E444" t="s">
        <v>37</v>
      </c>
      <c r="F444">
        <v>114</v>
      </c>
      <c r="G444">
        <v>253.13</v>
      </c>
      <c r="H444">
        <v>46102</v>
      </c>
      <c r="I444">
        <v>46102</v>
      </c>
      <c r="J444" t="s">
        <v>20</v>
      </c>
      <c r="K444" t="s">
        <v>21</v>
      </c>
      <c r="L444" t="s">
        <v>22</v>
      </c>
      <c r="M444">
        <f t="shared" si="12"/>
        <v>28856.82</v>
      </c>
      <c r="N444">
        <f t="shared" si="13"/>
        <v>61</v>
      </c>
      <c r="O444" t="str">
        <f ca="1">IFERROR((G444-_xludf.XLOOKUP(D444,Articles!A:A,Articles!D:D))/_xludf.XLOOKUP(D444,Articles!A:A,Articles!D:D),"")</f>
        <v/>
      </c>
      <c r="P444" t="s">
        <v>29</v>
      </c>
    </row>
    <row r="445" spans="1:16" x14ac:dyDescent="0.3">
      <c r="A445" t="s">
        <v>568</v>
      </c>
      <c r="B445">
        <v>45980</v>
      </c>
      <c r="C445" t="s">
        <v>109</v>
      </c>
      <c r="D445" t="s">
        <v>100</v>
      </c>
      <c r="E445" t="s">
        <v>19</v>
      </c>
      <c r="F445">
        <v>233</v>
      </c>
      <c r="G445">
        <v>89.08</v>
      </c>
      <c r="H445">
        <v>46012</v>
      </c>
      <c r="I445">
        <v>46012</v>
      </c>
      <c r="J445" t="s">
        <v>62</v>
      </c>
      <c r="K445" t="s">
        <v>21</v>
      </c>
      <c r="L445" t="s">
        <v>45</v>
      </c>
      <c r="M445">
        <f t="shared" si="12"/>
        <v>20755.64</v>
      </c>
      <c r="N445">
        <f t="shared" si="13"/>
        <v>32</v>
      </c>
      <c r="O445" t="str">
        <f ca="1">IFERROR((G445-_xludf.XLOOKUP(D445,Articles!A:A,Articles!D:D))/_xludf.XLOOKUP(D445,Articles!A:A,Articles!D:D),"")</f>
        <v/>
      </c>
      <c r="P445" t="s">
        <v>29</v>
      </c>
    </row>
    <row r="446" spans="1:16" x14ac:dyDescent="0.3">
      <c r="A446" t="s">
        <v>569</v>
      </c>
      <c r="B446">
        <v>45978</v>
      </c>
      <c r="C446" t="s">
        <v>158</v>
      </c>
      <c r="D446" t="s">
        <v>239</v>
      </c>
      <c r="E446" t="s">
        <v>37</v>
      </c>
      <c r="F446">
        <v>3</v>
      </c>
      <c r="G446">
        <v>281.26</v>
      </c>
      <c r="H446">
        <v>46033</v>
      </c>
      <c r="I446">
        <v>46035</v>
      </c>
      <c r="J446" t="s">
        <v>20</v>
      </c>
      <c r="K446" t="s">
        <v>21</v>
      </c>
      <c r="L446" t="s">
        <v>45</v>
      </c>
      <c r="M446">
        <f t="shared" si="12"/>
        <v>843.78</v>
      </c>
      <c r="N446">
        <f t="shared" si="13"/>
        <v>57</v>
      </c>
      <c r="O446" t="str">
        <f ca="1">IFERROR((G446-_xludf.XLOOKUP(D446,Articles!A:A,Articles!D:D))/_xludf.XLOOKUP(D446,Articles!A:A,Articles!D:D),"")</f>
        <v/>
      </c>
      <c r="P446" t="s">
        <v>29</v>
      </c>
    </row>
    <row r="447" spans="1:16" x14ac:dyDescent="0.3">
      <c r="A447" t="s">
        <v>570</v>
      </c>
      <c r="B447">
        <v>46097</v>
      </c>
      <c r="C447" t="s">
        <v>80</v>
      </c>
      <c r="D447" t="s">
        <v>121</v>
      </c>
      <c r="E447" t="s">
        <v>27</v>
      </c>
      <c r="F447">
        <v>111</v>
      </c>
      <c r="G447">
        <v>98.19</v>
      </c>
      <c r="H447">
        <v>46147</v>
      </c>
      <c r="I447">
        <v>46147</v>
      </c>
      <c r="J447" t="s">
        <v>20</v>
      </c>
      <c r="K447" t="s">
        <v>21</v>
      </c>
      <c r="L447" t="s">
        <v>45</v>
      </c>
      <c r="M447">
        <f t="shared" si="12"/>
        <v>10899.09</v>
      </c>
      <c r="N447">
        <f t="shared" si="13"/>
        <v>50</v>
      </c>
      <c r="O447" t="str">
        <f ca="1">IFERROR((G447-_xludf.XLOOKUP(D447,Articles!A:A,Articles!D:D))/_xludf.XLOOKUP(D447,Articles!A:A,Articles!D:D),"")</f>
        <v/>
      </c>
      <c r="P447" t="s">
        <v>29</v>
      </c>
    </row>
    <row r="448" spans="1:16" x14ac:dyDescent="0.3">
      <c r="A448" t="s">
        <v>571</v>
      </c>
      <c r="B448">
        <v>46002</v>
      </c>
      <c r="C448" t="s">
        <v>17</v>
      </c>
      <c r="D448" t="s">
        <v>51</v>
      </c>
      <c r="E448" t="s">
        <v>56</v>
      </c>
      <c r="F448">
        <v>64</v>
      </c>
      <c r="G448">
        <v>272.19</v>
      </c>
      <c r="H448">
        <v>46037</v>
      </c>
      <c r="I448">
        <v>46041</v>
      </c>
      <c r="J448" t="s">
        <v>62</v>
      </c>
      <c r="K448" t="s">
        <v>21</v>
      </c>
      <c r="L448" t="s">
        <v>45</v>
      </c>
      <c r="M448">
        <f t="shared" si="12"/>
        <v>17420.16</v>
      </c>
      <c r="N448">
        <f t="shared" si="13"/>
        <v>39</v>
      </c>
      <c r="O448" t="str">
        <f ca="1">IFERROR((G448-_xludf.XLOOKUP(D448,Articles!A:A,Articles!D:D))/_xludf.XLOOKUP(D448,Articles!A:A,Articles!D:D),"")</f>
        <v/>
      </c>
      <c r="P448" t="s">
        <v>29</v>
      </c>
    </row>
    <row r="449" spans="1:16" x14ac:dyDescent="0.3">
      <c r="A449" t="s">
        <v>572</v>
      </c>
      <c r="B449">
        <v>46033</v>
      </c>
      <c r="C449" t="s">
        <v>50</v>
      </c>
      <c r="D449" t="s">
        <v>100</v>
      </c>
      <c r="E449" t="s">
        <v>19</v>
      </c>
      <c r="F449">
        <v>196</v>
      </c>
      <c r="G449">
        <v>101.76</v>
      </c>
      <c r="H449">
        <v>46066</v>
      </c>
      <c r="I449">
        <v>46087</v>
      </c>
      <c r="J449" t="s">
        <v>20</v>
      </c>
      <c r="K449" t="s">
        <v>21</v>
      </c>
      <c r="L449" t="s">
        <v>45</v>
      </c>
      <c r="M449">
        <f t="shared" si="12"/>
        <v>19944.960000000003</v>
      </c>
      <c r="N449">
        <f t="shared" si="13"/>
        <v>54</v>
      </c>
      <c r="O449" t="str">
        <f ca="1">IFERROR((G449-_xludf.XLOOKUP(D449,Articles!A:A,Articles!D:D))/_xludf.XLOOKUP(D449,Articles!A:A,Articles!D:D),"")</f>
        <v/>
      </c>
      <c r="P449" t="s">
        <v>29</v>
      </c>
    </row>
    <row r="450" spans="1:16" x14ac:dyDescent="0.3">
      <c r="A450" t="s">
        <v>573</v>
      </c>
      <c r="B450">
        <v>45947</v>
      </c>
      <c r="C450" t="s">
        <v>39</v>
      </c>
      <c r="D450" t="s">
        <v>294</v>
      </c>
      <c r="E450" t="s">
        <v>37</v>
      </c>
      <c r="F450">
        <v>35</v>
      </c>
      <c r="G450">
        <v>389.82</v>
      </c>
      <c r="H450">
        <v>45988</v>
      </c>
      <c r="I450">
        <v>45995</v>
      </c>
      <c r="J450" t="s">
        <v>20</v>
      </c>
      <c r="K450" t="s">
        <v>21</v>
      </c>
      <c r="L450" t="s">
        <v>28</v>
      </c>
      <c r="M450">
        <f t="shared" ref="M450:M501" si="14">F450*G450</f>
        <v>13643.699999999999</v>
      </c>
      <c r="N450">
        <f t="shared" ref="N450:N501" si="15">IF(I450="","",I450-B450)</f>
        <v>48</v>
      </c>
      <c r="O450" t="str">
        <f ca="1">IFERROR((G450-_xludf.XLOOKUP(D450,Articles!A:A,Articles!D:D))/_xludf.XLOOKUP(D450,Articles!A:A,Articles!D:D),"")</f>
        <v/>
      </c>
      <c r="P450" t="s">
        <v>29</v>
      </c>
    </row>
    <row r="451" spans="1:16" x14ac:dyDescent="0.3">
      <c r="A451" t="s">
        <v>574</v>
      </c>
      <c r="B451">
        <v>45939</v>
      </c>
      <c r="C451" t="s">
        <v>80</v>
      </c>
      <c r="D451" t="s">
        <v>26</v>
      </c>
      <c r="E451" t="s">
        <v>27</v>
      </c>
      <c r="F451">
        <v>13</v>
      </c>
      <c r="G451">
        <v>458.09</v>
      </c>
      <c r="H451">
        <v>45957</v>
      </c>
      <c r="J451" t="s">
        <v>52</v>
      </c>
      <c r="K451" t="s">
        <v>21</v>
      </c>
      <c r="L451" t="s">
        <v>45</v>
      </c>
      <c r="M451">
        <f t="shared" si="14"/>
        <v>5955.17</v>
      </c>
      <c r="N451" t="str">
        <f t="shared" si="15"/>
        <v/>
      </c>
      <c r="O451" t="str">
        <f ca="1">IFERROR((G451-_xludf.XLOOKUP(D451,Articles!A:A,Articles!D:D))/_xludf.XLOOKUP(D451,Articles!A:A,Articles!D:D),"")</f>
        <v/>
      </c>
      <c r="P451" t="s">
        <v>29</v>
      </c>
    </row>
    <row r="452" spans="1:16" x14ac:dyDescent="0.3">
      <c r="A452" t="s">
        <v>575</v>
      </c>
      <c r="B452">
        <v>45924</v>
      </c>
      <c r="C452" t="s">
        <v>50</v>
      </c>
      <c r="D452" t="s">
        <v>576</v>
      </c>
      <c r="E452" t="s">
        <v>37</v>
      </c>
      <c r="F452">
        <v>39</v>
      </c>
      <c r="G452">
        <v>190.37</v>
      </c>
      <c r="H452">
        <v>45934</v>
      </c>
      <c r="I452">
        <v>45936</v>
      </c>
      <c r="J452" t="s">
        <v>20</v>
      </c>
      <c r="K452" t="s">
        <v>21</v>
      </c>
      <c r="L452" t="s">
        <v>33</v>
      </c>
      <c r="M452">
        <f t="shared" si="14"/>
        <v>7424.43</v>
      </c>
      <c r="N452">
        <f t="shared" si="15"/>
        <v>12</v>
      </c>
      <c r="O452" t="str">
        <f ca="1">IFERROR((G452-_xludf.XLOOKUP(D452,Articles!A:A,Articles!D:D))/_xludf.XLOOKUP(D452,Articles!A:A,Articles!D:D),"")</f>
        <v/>
      </c>
      <c r="P452" t="s">
        <v>34</v>
      </c>
    </row>
    <row r="453" spans="1:16" x14ac:dyDescent="0.3">
      <c r="A453" t="s">
        <v>577</v>
      </c>
      <c r="B453">
        <v>45985</v>
      </c>
      <c r="C453" t="s">
        <v>132</v>
      </c>
      <c r="D453" t="s">
        <v>377</v>
      </c>
      <c r="E453" t="s">
        <v>37</v>
      </c>
      <c r="F453">
        <v>21</v>
      </c>
      <c r="G453">
        <v>502.65</v>
      </c>
      <c r="H453">
        <v>46022</v>
      </c>
      <c r="I453">
        <v>46019</v>
      </c>
      <c r="J453" t="s">
        <v>20</v>
      </c>
      <c r="K453" t="s">
        <v>21</v>
      </c>
      <c r="L453" t="s">
        <v>28</v>
      </c>
      <c r="M453">
        <f t="shared" si="14"/>
        <v>10555.65</v>
      </c>
      <c r="N453">
        <f t="shared" si="15"/>
        <v>34</v>
      </c>
      <c r="O453" t="str">
        <f ca="1">IFERROR((G453-_xludf.XLOOKUP(D453,Articles!A:A,Articles!D:D))/_xludf.XLOOKUP(D453,Articles!A:A,Articles!D:D),"")</f>
        <v/>
      </c>
      <c r="P453" t="s">
        <v>29</v>
      </c>
    </row>
    <row r="454" spans="1:16" x14ac:dyDescent="0.3">
      <c r="A454" t="s">
        <v>578</v>
      </c>
      <c r="B454">
        <v>46110</v>
      </c>
      <c r="C454" t="s">
        <v>67</v>
      </c>
      <c r="D454" t="s">
        <v>294</v>
      </c>
      <c r="E454" t="s">
        <v>27</v>
      </c>
      <c r="F454">
        <v>98</v>
      </c>
      <c r="G454">
        <v>457.05</v>
      </c>
      <c r="H454">
        <v>46142</v>
      </c>
      <c r="I454">
        <v>46150</v>
      </c>
      <c r="J454" t="s">
        <v>20</v>
      </c>
      <c r="K454" t="s">
        <v>21</v>
      </c>
      <c r="L454" t="s">
        <v>48</v>
      </c>
      <c r="M454">
        <f t="shared" si="14"/>
        <v>44790.9</v>
      </c>
      <c r="N454">
        <f t="shared" si="15"/>
        <v>40</v>
      </c>
      <c r="O454" t="str">
        <f ca="1">IFERROR((G454-_xludf.XLOOKUP(D454,Articles!A:A,Articles!D:D))/_xludf.XLOOKUP(D454,Articles!A:A,Articles!D:D),"")</f>
        <v/>
      </c>
      <c r="P454" t="s">
        <v>23</v>
      </c>
    </row>
    <row r="455" spans="1:16" x14ac:dyDescent="0.3">
      <c r="A455" t="s">
        <v>579</v>
      </c>
      <c r="B455">
        <v>46089</v>
      </c>
      <c r="C455" t="s">
        <v>95</v>
      </c>
      <c r="D455" t="s">
        <v>294</v>
      </c>
      <c r="E455" t="s">
        <v>19</v>
      </c>
      <c r="F455">
        <v>198</v>
      </c>
      <c r="G455">
        <v>365.4</v>
      </c>
      <c r="H455">
        <v>46130</v>
      </c>
      <c r="I455">
        <v>46130</v>
      </c>
      <c r="J455" t="s">
        <v>20</v>
      </c>
      <c r="K455" t="s">
        <v>21</v>
      </c>
      <c r="L455" t="s">
        <v>33</v>
      </c>
      <c r="M455">
        <f t="shared" si="14"/>
        <v>72349.2</v>
      </c>
      <c r="N455">
        <f t="shared" si="15"/>
        <v>41</v>
      </c>
      <c r="O455" t="str">
        <f ca="1">IFERROR((G455-_xludf.XLOOKUP(D455,Articles!A:A,Articles!D:D))/_xludf.XLOOKUP(D455,Articles!A:A,Articles!D:D),"")</f>
        <v/>
      </c>
      <c r="P455" t="s">
        <v>29</v>
      </c>
    </row>
    <row r="456" spans="1:16" x14ac:dyDescent="0.3">
      <c r="A456" t="s">
        <v>580</v>
      </c>
      <c r="B456">
        <v>46091</v>
      </c>
      <c r="C456" t="s">
        <v>132</v>
      </c>
      <c r="D456" t="s">
        <v>186</v>
      </c>
      <c r="E456" t="s">
        <v>19</v>
      </c>
      <c r="F456">
        <v>240</v>
      </c>
      <c r="G456">
        <v>160.32</v>
      </c>
      <c r="H456">
        <v>46150</v>
      </c>
      <c r="I456">
        <v>46151</v>
      </c>
      <c r="J456" t="s">
        <v>20</v>
      </c>
      <c r="K456" t="s">
        <v>21</v>
      </c>
      <c r="L456" t="s">
        <v>48</v>
      </c>
      <c r="M456">
        <f t="shared" si="14"/>
        <v>38476.799999999996</v>
      </c>
      <c r="N456">
        <f t="shared" si="15"/>
        <v>60</v>
      </c>
      <c r="O456" t="str">
        <f ca="1">IFERROR((G456-_xludf.XLOOKUP(D456,Articles!A:A,Articles!D:D))/_xludf.XLOOKUP(D456,Articles!A:A,Articles!D:D),"")</f>
        <v/>
      </c>
      <c r="P456" t="s">
        <v>29</v>
      </c>
    </row>
    <row r="457" spans="1:16" x14ac:dyDescent="0.3">
      <c r="A457" t="s">
        <v>581</v>
      </c>
      <c r="B457">
        <v>45929</v>
      </c>
      <c r="C457" t="s">
        <v>43</v>
      </c>
      <c r="D457" t="s">
        <v>582</v>
      </c>
      <c r="E457" t="s">
        <v>56</v>
      </c>
      <c r="F457">
        <v>61</v>
      </c>
      <c r="G457">
        <v>128.38</v>
      </c>
      <c r="H457">
        <v>45974</v>
      </c>
      <c r="I457">
        <v>45971</v>
      </c>
      <c r="J457" t="s">
        <v>41</v>
      </c>
      <c r="K457" t="s">
        <v>21</v>
      </c>
      <c r="L457" t="s">
        <v>45</v>
      </c>
      <c r="M457">
        <f t="shared" si="14"/>
        <v>7831.1799999999994</v>
      </c>
      <c r="N457">
        <f t="shared" si="15"/>
        <v>42</v>
      </c>
      <c r="O457" t="str">
        <f ca="1">IFERROR((G457-_xludf.XLOOKUP(D457,Articles!A:A,Articles!D:D))/_xludf.XLOOKUP(D457,Articles!A:A,Articles!D:D),"")</f>
        <v/>
      </c>
      <c r="P457" t="s">
        <v>29</v>
      </c>
    </row>
    <row r="458" spans="1:16" x14ac:dyDescent="0.3">
      <c r="A458" t="s">
        <v>583</v>
      </c>
      <c r="B458">
        <v>45911</v>
      </c>
      <c r="C458" t="s">
        <v>80</v>
      </c>
      <c r="D458" t="s">
        <v>76</v>
      </c>
      <c r="E458" t="s">
        <v>27</v>
      </c>
      <c r="F458">
        <v>0</v>
      </c>
      <c r="G458">
        <v>195.93</v>
      </c>
      <c r="H458">
        <v>45971</v>
      </c>
      <c r="I458">
        <v>45971</v>
      </c>
      <c r="J458" t="s">
        <v>20</v>
      </c>
      <c r="K458" t="s">
        <v>21</v>
      </c>
      <c r="L458" t="s">
        <v>45</v>
      </c>
      <c r="M458">
        <f t="shared" si="14"/>
        <v>0</v>
      </c>
      <c r="N458">
        <f t="shared" si="15"/>
        <v>60</v>
      </c>
      <c r="O458" t="str">
        <f ca="1">IFERROR((G458-_xludf.XLOOKUP(D458,Articles!A:A,Articles!D:D))/_xludf.XLOOKUP(D458,Articles!A:A,Articles!D:D),"")</f>
        <v/>
      </c>
      <c r="P458" t="s">
        <v>29</v>
      </c>
    </row>
    <row r="459" spans="1:16" x14ac:dyDescent="0.3">
      <c r="A459" t="s">
        <v>584</v>
      </c>
      <c r="B459">
        <v>45987</v>
      </c>
      <c r="C459" t="s">
        <v>114</v>
      </c>
      <c r="D459" t="s">
        <v>73</v>
      </c>
      <c r="E459" t="s">
        <v>56</v>
      </c>
      <c r="F459">
        <v>0</v>
      </c>
      <c r="G459">
        <v>327.38</v>
      </c>
      <c r="H459">
        <v>46014</v>
      </c>
      <c r="I459">
        <v>46011</v>
      </c>
      <c r="J459" t="s">
        <v>41</v>
      </c>
      <c r="K459" t="s">
        <v>21</v>
      </c>
      <c r="L459" t="s">
        <v>28</v>
      </c>
      <c r="M459">
        <f t="shared" si="14"/>
        <v>0</v>
      </c>
      <c r="N459">
        <f t="shared" si="15"/>
        <v>24</v>
      </c>
      <c r="O459" t="str">
        <f ca="1">IFERROR((G459-_xludf.XLOOKUP(D459,Articles!A:A,Articles!D:D))/_xludf.XLOOKUP(D459,Articles!A:A,Articles!D:D),"")</f>
        <v/>
      </c>
      <c r="P459" t="s">
        <v>29</v>
      </c>
    </row>
    <row r="460" spans="1:16" x14ac:dyDescent="0.3">
      <c r="A460" t="s">
        <v>585</v>
      </c>
      <c r="B460">
        <v>45982</v>
      </c>
      <c r="C460" t="s">
        <v>50</v>
      </c>
      <c r="D460" t="s">
        <v>47</v>
      </c>
      <c r="E460" t="s">
        <v>37</v>
      </c>
      <c r="F460">
        <v>143</v>
      </c>
      <c r="G460">
        <v>71.52</v>
      </c>
      <c r="H460">
        <v>46006</v>
      </c>
      <c r="I460">
        <v>46013</v>
      </c>
      <c r="J460" t="s">
        <v>20</v>
      </c>
      <c r="K460" t="s">
        <v>21</v>
      </c>
      <c r="L460" t="s">
        <v>33</v>
      </c>
      <c r="M460">
        <f t="shared" si="14"/>
        <v>10227.359999999999</v>
      </c>
      <c r="N460">
        <f t="shared" si="15"/>
        <v>31</v>
      </c>
      <c r="O460" t="str">
        <f ca="1">IFERROR((G460-_xludf.XLOOKUP(D460,Articles!A:A,Articles!D:D))/_xludf.XLOOKUP(D460,Articles!A:A,Articles!D:D),"")</f>
        <v/>
      </c>
      <c r="P460" t="s">
        <v>29</v>
      </c>
    </row>
    <row r="461" spans="1:16" x14ac:dyDescent="0.3">
      <c r="A461" t="s">
        <v>586</v>
      </c>
      <c r="B461">
        <v>45911</v>
      </c>
      <c r="C461" t="s">
        <v>67</v>
      </c>
      <c r="D461" t="s">
        <v>206</v>
      </c>
      <c r="E461" t="s">
        <v>27</v>
      </c>
      <c r="F461">
        <v>125</v>
      </c>
      <c r="G461">
        <v>199.57</v>
      </c>
      <c r="H461">
        <v>45928</v>
      </c>
      <c r="I461">
        <v>45929</v>
      </c>
      <c r="J461" t="s">
        <v>20</v>
      </c>
      <c r="K461" t="s">
        <v>21</v>
      </c>
      <c r="L461" t="s">
        <v>22</v>
      </c>
      <c r="M461">
        <f t="shared" si="14"/>
        <v>24946.25</v>
      </c>
      <c r="N461">
        <f t="shared" si="15"/>
        <v>18</v>
      </c>
      <c r="O461" t="str">
        <f ca="1">IFERROR((G461-_xludf.XLOOKUP(D461,Articles!A:A,Articles!D:D))/_xludf.XLOOKUP(D461,Articles!A:A,Articles!D:D),"")</f>
        <v/>
      </c>
      <c r="P461" t="s">
        <v>29</v>
      </c>
    </row>
    <row r="462" spans="1:16" x14ac:dyDescent="0.3">
      <c r="A462" t="s">
        <v>587</v>
      </c>
      <c r="B462">
        <v>46088</v>
      </c>
      <c r="C462" t="s">
        <v>85</v>
      </c>
      <c r="D462" t="s">
        <v>148</v>
      </c>
      <c r="E462" t="s">
        <v>37</v>
      </c>
      <c r="F462">
        <v>120</v>
      </c>
      <c r="G462">
        <v>105.85</v>
      </c>
      <c r="H462">
        <v>46125</v>
      </c>
      <c r="I462">
        <v>46137</v>
      </c>
      <c r="J462" t="s">
        <v>41</v>
      </c>
      <c r="K462" t="s">
        <v>21</v>
      </c>
      <c r="L462" t="s">
        <v>33</v>
      </c>
      <c r="M462">
        <f t="shared" si="14"/>
        <v>12702</v>
      </c>
      <c r="N462">
        <f t="shared" si="15"/>
        <v>49</v>
      </c>
      <c r="O462" t="str">
        <f ca="1">IFERROR((G462-_xludf.XLOOKUP(D462,Articles!A:A,Articles!D:D))/_xludf.XLOOKUP(D462,Articles!A:A,Articles!D:D),"")</f>
        <v/>
      </c>
      <c r="P462" t="s">
        <v>23</v>
      </c>
    </row>
    <row r="463" spans="1:16" x14ac:dyDescent="0.3">
      <c r="A463" t="s">
        <v>588</v>
      </c>
      <c r="B463">
        <v>45994</v>
      </c>
      <c r="C463" t="s">
        <v>109</v>
      </c>
      <c r="D463" t="s">
        <v>239</v>
      </c>
      <c r="E463" t="s">
        <v>56</v>
      </c>
      <c r="F463">
        <v>117</v>
      </c>
      <c r="G463">
        <v>281.32</v>
      </c>
      <c r="H463">
        <v>46057</v>
      </c>
      <c r="J463" t="s">
        <v>20</v>
      </c>
      <c r="K463" t="s">
        <v>21</v>
      </c>
      <c r="L463" t="s">
        <v>22</v>
      </c>
      <c r="M463">
        <f t="shared" si="14"/>
        <v>32914.44</v>
      </c>
      <c r="N463" t="str">
        <f t="shared" si="15"/>
        <v/>
      </c>
      <c r="O463" t="str">
        <f ca="1">IFERROR((G463-_xludf.XLOOKUP(D463,Articles!A:A,Articles!D:D))/_xludf.XLOOKUP(D463,Articles!A:A,Articles!D:D),"")</f>
        <v/>
      </c>
      <c r="P463" t="s">
        <v>29</v>
      </c>
    </row>
    <row r="464" spans="1:16" x14ac:dyDescent="0.3">
      <c r="A464" t="s">
        <v>589</v>
      </c>
      <c r="B464">
        <v>45962</v>
      </c>
      <c r="C464" t="s">
        <v>114</v>
      </c>
      <c r="D464" t="s">
        <v>98</v>
      </c>
      <c r="E464" t="s">
        <v>37</v>
      </c>
      <c r="F464">
        <v>83</v>
      </c>
      <c r="G464">
        <v>362.88</v>
      </c>
      <c r="H464">
        <v>45979</v>
      </c>
      <c r="I464">
        <v>45991</v>
      </c>
      <c r="J464" t="s">
        <v>62</v>
      </c>
      <c r="K464" t="s">
        <v>21</v>
      </c>
      <c r="L464" t="s">
        <v>22</v>
      </c>
      <c r="M464">
        <f t="shared" si="14"/>
        <v>30119.040000000001</v>
      </c>
      <c r="N464">
        <f t="shared" si="15"/>
        <v>29</v>
      </c>
      <c r="O464" t="str">
        <f ca="1">IFERROR((G464-_xludf.XLOOKUP(D464,Articles!A:A,Articles!D:D))/_xludf.XLOOKUP(D464,Articles!A:A,Articles!D:D),"")</f>
        <v/>
      </c>
      <c r="P464" t="s">
        <v>29</v>
      </c>
    </row>
    <row r="465" spans="1:16" x14ac:dyDescent="0.3">
      <c r="A465" t="s">
        <v>590</v>
      </c>
      <c r="B465">
        <v>45973</v>
      </c>
      <c r="C465" t="s">
        <v>114</v>
      </c>
      <c r="D465" t="s">
        <v>59</v>
      </c>
      <c r="E465" t="s">
        <v>56</v>
      </c>
      <c r="F465">
        <v>83</v>
      </c>
      <c r="G465">
        <v>208.62</v>
      </c>
      <c r="H465">
        <v>46027</v>
      </c>
      <c r="I465">
        <v>46042</v>
      </c>
      <c r="J465" t="s">
        <v>41</v>
      </c>
      <c r="K465" t="s">
        <v>21</v>
      </c>
      <c r="L465" t="s">
        <v>28</v>
      </c>
      <c r="M465">
        <f t="shared" si="14"/>
        <v>17315.46</v>
      </c>
      <c r="N465">
        <f t="shared" si="15"/>
        <v>69</v>
      </c>
      <c r="O465" t="str">
        <f ca="1">IFERROR((G465-_xludf.XLOOKUP(D465,Articles!A:A,Articles!D:D))/_xludf.XLOOKUP(D465,Articles!A:A,Articles!D:D),"")</f>
        <v/>
      </c>
      <c r="P465" t="s">
        <v>29</v>
      </c>
    </row>
    <row r="466" spans="1:16" x14ac:dyDescent="0.3">
      <c r="A466" t="s">
        <v>591</v>
      </c>
      <c r="B466">
        <v>45952</v>
      </c>
      <c r="C466" t="s">
        <v>132</v>
      </c>
      <c r="D466" t="s">
        <v>141</v>
      </c>
      <c r="E466" t="s">
        <v>37</v>
      </c>
      <c r="F466">
        <v>28</v>
      </c>
      <c r="G466">
        <v>205.38</v>
      </c>
      <c r="H466">
        <v>45983</v>
      </c>
      <c r="I466">
        <v>45980</v>
      </c>
      <c r="J466" t="s">
        <v>20</v>
      </c>
      <c r="K466" t="s">
        <v>21</v>
      </c>
      <c r="L466" t="s">
        <v>22</v>
      </c>
      <c r="M466">
        <f t="shared" si="14"/>
        <v>5750.6399999999994</v>
      </c>
      <c r="N466">
        <f t="shared" si="15"/>
        <v>28</v>
      </c>
      <c r="O466" t="str">
        <f ca="1">IFERROR((G466-_xludf.XLOOKUP(D466,Articles!A:A,Articles!D:D))/_xludf.XLOOKUP(D466,Articles!A:A,Articles!D:D),"")</f>
        <v/>
      </c>
      <c r="P466" t="s">
        <v>34</v>
      </c>
    </row>
    <row r="467" spans="1:16" x14ac:dyDescent="0.3">
      <c r="A467" t="s">
        <v>592</v>
      </c>
      <c r="B467">
        <v>45966</v>
      </c>
      <c r="C467" t="s">
        <v>75</v>
      </c>
      <c r="D467" t="s">
        <v>212</v>
      </c>
      <c r="E467" t="s">
        <v>37</v>
      </c>
      <c r="F467">
        <v>13</v>
      </c>
      <c r="G467">
        <v>397.36</v>
      </c>
      <c r="H467">
        <v>46000</v>
      </c>
      <c r="I467">
        <v>45999</v>
      </c>
      <c r="J467" t="s">
        <v>41</v>
      </c>
      <c r="K467" t="s">
        <v>21</v>
      </c>
      <c r="L467" t="s">
        <v>48</v>
      </c>
      <c r="M467">
        <f t="shared" si="14"/>
        <v>5165.68</v>
      </c>
      <c r="N467">
        <f t="shared" si="15"/>
        <v>33</v>
      </c>
      <c r="O467" t="str">
        <f ca="1">IFERROR((G467-_xludf.XLOOKUP(D467,Articles!A:A,Articles!D:D))/_xludf.XLOOKUP(D467,Articles!A:A,Articles!D:D),"")</f>
        <v/>
      </c>
      <c r="P467" t="s">
        <v>23</v>
      </c>
    </row>
    <row r="468" spans="1:16" x14ac:dyDescent="0.3">
      <c r="A468" t="s">
        <v>593</v>
      </c>
      <c r="B468">
        <v>45993</v>
      </c>
      <c r="C468" t="s">
        <v>132</v>
      </c>
      <c r="D468" t="s">
        <v>377</v>
      </c>
      <c r="E468" t="s">
        <v>19</v>
      </c>
      <c r="F468">
        <v>143</v>
      </c>
      <c r="G468">
        <v>413.11</v>
      </c>
      <c r="H468">
        <v>46034</v>
      </c>
      <c r="I468">
        <v>46036</v>
      </c>
      <c r="J468" t="s">
        <v>20</v>
      </c>
      <c r="K468" t="s">
        <v>21</v>
      </c>
      <c r="L468" t="s">
        <v>22</v>
      </c>
      <c r="M468">
        <f t="shared" si="14"/>
        <v>59074.73</v>
      </c>
      <c r="N468">
        <f t="shared" si="15"/>
        <v>43</v>
      </c>
      <c r="O468" t="str">
        <f ca="1">IFERROR((G468-_xludf.XLOOKUP(D468,Articles!A:A,Articles!D:D))/_xludf.XLOOKUP(D468,Articles!A:A,Articles!D:D),"")</f>
        <v/>
      </c>
      <c r="P468" t="s">
        <v>29</v>
      </c>
    </row>
    <row r="469" spans="1:16" x14ac:dyDescent="0.3">
      <c r="A469" t="s">
        <v>594</v>
      </c>
      <c r="B469">
        <v>46114</v>
      </c>
      <c r="C469" t="s">
        <v>39</v>
      </c>
      <c r="D469" t="s">
        <v>18</v>
      </c>
      <c r="E469" t="s">
        <v>37</v>
      </c>
      <c r="F469">
        <v>78</v>
      </c>
      <c r="G469">
        <v>273.3</v>
      </c>
      <c r="H469">
        <v>46165</v>
      </c>
      <c r="I469">
        <v>46177</v>
      </c>
      <c r="J469" t="s">
        <v>41</v>
      </c>
      <c r="K469" t="s">
        <v>21</v>
      </c>
      <c r="L469" t="s">
        <v>28</v>
      </c>
      <c r="M469">
        <f t="shared" si="14"/>
        <v>21317.4</v>
      </c>
      <c r="N469">
        <f t="shared" si="15"/>
        <v>63</v>
      </c>
      <c r="O469" t="str">
        <f ca="1">IFERROR((G469-_xludf.XLOOKUP(D469,Articles!A:A,Articles!D:D))/_xludf.XLOOKUP(D469,Articles!A:A,Articles!D:D),"")</f>
        <v/>
      </c>
      <c r="P469" t="s">
        <v>29</v>
      </c>
    </row>
    <row r="470" spans="1:16" x14ac:dyDescent="0.3">
      <c r="A470" t="s">
        <v>595</v>
      </c>
      <c r="B470">
        <v>46069</v>
      </c>
      <c r="C470" t="s">
        <v>123</v>
      </c>
      <c r="D470" t="s">
        <v>294</v>
      </c>
      <c r="E470" t="s">
        <v>56</v>
      </c>
      <c r="F470">
        <v>64</v>
      </c>
      <c r="G470">
        <v>424.82</v>
      </c>
      <c r="H470">
        <v>46102</v>
      </c>
      <c r="I470">
        <v>46126</v>
      </c>
      <c r="J470" t="s">
        <v>20</v>
      </c>
      <c r="K470" t="s">
        <v>21</v>
      </c>
      <c r="L470" t="s">
        <v>22</v>
      </c>
      <c r="M470">
        <f t="shared" si="14"/>
        <v>27188.48</v>
      </c>
      <c r="N470">
        <f t="shared" si="15"/>
        <v>57</v>
      </c>
      <c r="O470" t="str">
        <f ca="1">IFERROR((G470-_xludf.XLOOKUP(D470,Articles!A:A,Articles!D:D))/_xludf.XLOOKUP(D470,Articles!A:A,Articles!D:D),"")</f>
        <v/>
      </c>
      <c r="P470" t="s">
        <v>29</v>
      </c>
    </row>
    <row r="471" spans="1:16" x14ac:dyDescent="0.3">
      <c r="A471" t="s">
        <v>596</v>
      </c>
      <c r="B471">
        <v>46080</v>
      </c>
      <c r="C471" t="s">
        <v>95</v>
      </c>
      <c r="D471" t="s">
        <v>148</v>
      </c>
      <c r="E471" t="s">
        <v>19</v>
      </c>
      <c r="F471">
        <v>171</v>
      </c>
      <c r="G471">
        <v>111.02</v>
      </c>
      <c r="H471">
        <v>46109</v>
      </c>
      <c r="I471">
        <v>46109</v>
      </c>
      <c r="J471" t="s">
        <v>20</v>
      </c>
      <c r="K471" t="s">
        <v>21</v>
      </c>
      <c r="L471" t="s">
        <v>28</v>
      </c>
      <c r="M471">
        <f t="shared" si="14"/>
        <v>18984.419999999998</v>
      </c>
      <c r="N471">
        <f t="shared" si="15"/>
        <v>29</v>
      </c>
      <c r="O471" t="str">
        <f ca="1">IFERROR((G471-_xludf.XLOOKUP(D471,Articles!A:A,Articles!D:D))/_xludf.XLOOKUP(D471,Articles!A:A,Articles!D:D),"")</f>
        <v/>
      </c>
      <c r="P471" t="s">
        <v>29</v>
      </c>
    </row>
    <row r="472" spans="1:16" x14ac:dyDescent="0.3">
      <c r="A472" t="s">
        <v>597</v>
      </c>
      <c r="B472">
        <v>46014</v>
      </c>
      <c r="C472" t="s">
        <v>598</v>
      </c>
      <c r="D472" t="s">
        <v>69</v>
      </c>
      <c r="E472" t="s">
        <v>19</v>
      </c>
      <c r="F472">
        <v>239</v>
      </c>
      <c r="G472">
        <v>161.68</v>
      </c>
      <c r="H472">
        <v>46072</v>
      </c>
      <c r="I472">
        <v>46084</v>
      </c>
      <c r="J472" t="s">
        <v>52</v>
      </c>
      <c r="K472" t="s">
        <v>21</v>
      </c>
      <c r="L472" t="s">
        <v>45</v>
      </c>
      <c r="M472">
        <f t="shared" si="14"/>
        <v>38641.520000000004</v>
      </c>
      <c r="N472">
        <f t="shared" si="15"/>
        <v>70</v>
      </c>
      <c r="O472" t="str">
        <f ca="1">IFERROR((G472-_xludf.XLOOKUP(D472,Articles!A:A,Articles!D:D))/_xludf.XLOOKUP(D472,Articles!A:A,Articles!D:D),"")</f>
        <v/>
      </c>
      <c r="P472" t="s">
        <v>29</v>
      </c>
    </row>
    <row r="473" spans="1:16" x14ac:dyDescent="0.3">
      <c r="A473" t="s">
        <v>599</v>
      </c>
      <c r="B473">
        <v>46112</v>
      </c>
      <c r="C473" t="s">
        <v>67</v>
      </c>
      <c r="D473" t="s">
        <v>100</v>
      </c>
      <c r="E473" t="s">
        <v>19</v>
      </c>
      <c r="F473">
        <v>186</v>
      </c>
      <c r="G473">
        <v>88.42</v>
      </c>
      <c r="H473">
        <v>46139</v>
      </c>
      <c r="I473">
        <v>46151</v>
      </c>
      <c r="J473" t="s">
        <v>41</v>
      </c>
      <c r="K473" t="s">
        <v>21</v>
      </c>
      <c r="L473" t="s">
        <v>33</v>
      </c>
      <c r="M473">
        <f t="shared" si="14"/>
        <v>16446.12</v>
      </c>
      <c r="N473">
        <f t="shared" si="15"/>
        <v>39</v>
      </c>
      <c r="O473" t="str">
        <f ca="1">IFERROR((G473-_xludf.XLOOKUP(D473,Articles!A:A,Articles!D:D))/_xludf.XLOOKUP(D473,Articles!A:A,Articles!D:D),"")</f>
        <v/>
      </c>
      <c r="P473" t="s">
        <v>34</v>
      </c>
    </row>
    <row r="474" spans="1:16" x14ac:dyDescent="0.3">
      <c r="A474" t="s">
        <v>600</v>
      </c>
      <c r="B474">
        <v>46002</v>
      </c>
      <c r="C474" t="s">
        <v>95</v>
      </c>
      <c r="D474" t="s">
        <v>150</v>
      </c>
      <c r="E474" t="s">
        <v>19</v>
      </c>
      <c r="F474">
        <v>1</v>
      </c>
      <c r="G474">
        <v>137.1</v>
      </c>
      <c r="H474">
        <v>46047</v>
      </c>
      <c r="I474">
        <v>46044</v>
      </c>
      <c r="J474" t="s">
        <v>20</v>
      </c>
      <c r="K474" t="s">
        <v>21</v>
      </c>
      <c r="L474" t="s">
        <v>48</v>
      </c>
      <c r="M474">
        <f t="shared" si="14"/>
        <v>137.1</v>
      </c>
      <c r="N474">
        <f t="shared" si="15"/>
        <v>42</v>
      </c>
      <c r="O474" t="str">
        <f ca="1">IFERROR((G474-_xludf.XLOOKUP(D474,Articles!A:A,Articles!D:D))/_xludf.XLOOKUP(D474,Articles!A:A,Articles!D:D),"")</f>
        <v/>
      </c>
      <c r="P474" t="s">
        <v>23</v>
      </c>
    </row>
    <row r="475" spans="1:16" x14ac:dyDescent="0.3">
      <c r="A475" t="s">
        <v>601</v>
      </c>
      <c r="B475">
        <v>45955</v>
      </c>
      <c r="C475" t="s">
        <v>50</v>
      </c>
      <c r="D475" t="s">
        <v>121</v>
      </c>
      <c r="E475" t="s">
        <v>27</v>
      </c>
      <c r="F475">
        <v>220</v>
      </c>
      <c r="G475">
        <v>85.13</v>
      </c>
      <c r="H475">
        <v>46000</v>
      </c>
      <c r="I475">
        <v>46012</v>
      </c>
      <c r="J475" t="s">
        <v>20</v>
      </c>
      <c r="K475" t="s">
        <v>21</v>
      </c>
      <c r="L475" t="s">
        <v>48</v>
      </c>
      <c r="M475">
        <f t="shared" si="14"/>
        <v>18728.599999999999</v>
      </c>
      <c r="N475">
        <f t="shared" si="15"/>
        <v>57</v>
      </c>
      <c r="O475" t="str">
        <f ca="1">IFERROR((G475-_xludf.XLOOKUP(D475,Articles!A:A,Articles!D:D))/_xludf.XLOOKUP(D475,Articles!A:A,Articles!D:D),"")</f>
        <v/>
      </c>
      <c r="P475" t="s">
        <v>29</v>
      </c>
    </row>
    <row r="476" spans="1:16" x14ac:dyDescent="0.3">
      <c r="A476" t="s">
        <v>602</v>
      </c>
      <c r="B476">
        <v>45992</v>
      </c>
      <c r="C476" t="s">
        <v>95</v>
      </c>
      <c r="D476" t="s">
        <v>18</v>
      </c>
      <c r="E476" t="s">
        <v>56</v>
      </c>
      <c r="F476">
        <v>40</v>
      </c>
      <c r="G476">
        <v>278.98</v>
      </c>
      <c r="H476">
        <v>46045</v>
      </c>
      <c r="I476">
        <v>46045</v>
      </c>
      <c r="J476" t="s">
        <v>41</v>
      </c>
      <c r="K476" t="s">
        <v>21</v>
      </c>
      <c r="L476" t="s">
        <v>22</v>
      </c>
      <c r="M476">
        <f t="shared" si="14"/>
        <v>11159.2</v>
      </c>
      <c r="N476">
        <f t="shared" si="15"/>
        <v>53</v>
      </c>
      <c r="O476" t="str">
        <f ca="1">IFERROR((G476-_xludf.XLOOKUP(D476,Articles!A:A,Articles!D:D))/_xludf.XLOOKUP(D476,Articles!A:A,Articles!D:D),"")</f>
        <v/>
      </c>
      <c r="P476" t="s">
        <v>34</v>
      </c>
    </row>
    <row r="477" spans="1:16" x14ac:dyDescent="0.3">
      <c r="A477" t="s">
        <v>603</v>
      </c>
      <c r="B477">
        <v>45956</v>
      </c>
      <c r="C477" t="s">
        <v>67</v>
      </c>
      <c r="D477" t="s">
        <v>93</v>
      </c>
      <c r="E477" t="s">
        <v>56</v>
      </c>
      <c r="F477">
        <v>188</v>
      </c>
      <c r="G477">
        <v>346.94</v>
      </c>
      <c r="H477">
        <v>45979</v>
      </c>
      <c r="I477">
        <v>45986</v>
      </c>
      <c r="J477" t="s">
        <v>41</v>
      </c>
      <c r="K477" t="s">
        <v>21</v>
      </c>
      <c r="L477" t="s">
        <v>22</v>
      </c>
      <c r="M477">
        <f t="shared" si="14"/>
        <v>65224.72</v>
      </c>
      <c r="N477">
        <f t="shared" si="15"/>
        <v>30</v>
      </c>
      <c r="O477" t="str">
        <f ca="1">IFERROR((G477-_xludf.XLOOKUP(D477,Articles!A:A,Articles!D:D))/_xludf.XLOOKUP(D477,Articles!A:A,Articles!D:D),"")</f>
        <v/>
      </c>
      <c r="P477" t="s">
        <v>34</v>
      </c>
    </row>
    <row r="478" spans="1:16" x14ac:dyDescent="0.3">
      <c r="A478" t="s">
        <v>604</v>
      </c>
      <c r="B478">
        <v>45910</v>
      </c>
      <c r="C478" t="s">
        <v>83</v>
      </c>
      <c r="D478" t="s">
        <v>222</v>
      </c>
      <c r="E478" t="s">
        <v>19</v>
      </c>
      <c r="F478">
        <v>188</v>
      </c>
      <c r="G478">
        <v>318.5</v>
      </c>
      <c r="H478">
        <v>45944</v>
      </c>
      <c r="I478">
        <v>45943</v>
      </c>
      <c r="J478" t="s">
        <v>20</v>
      </c>
      <c r="K478" t="s">
        <v>21</v>
      </c>
      <c r="L478" t="s">
        <v>33</v>
      </c>
      <c r="M478">
        <f t="shared" si="14"/>
        <v>59878</v>
      </c>
      <c r="N478">
        <f t="shared" si="15"/>
        <v>33</v>
      </c>
      <c r="O478" t="str">
        <f ca="1">IFERROR((G478-_xludf.XLOOKUP(D478,Articles!A:A,Articles!D:D))/_xludf.XLOOKUP(D478,Articles!A:A,Articles!D:D),"")</f>
        <v/>
      </c>
      <c r="P478" t="s">
        <v>23</v>
      </c>
    </row>
    <row r="479" spans="1:16" x14ac:dyDescent="0.3">
      <c r="A479" t="s">
        <v>605</v>
      </c>
      <c r="B479">
        <v>45931</v>
      </c>
      <c r="C479" t="s">
        <v>17</v>
      </c>
      <c r="D479" t="s">
        <v>88</v>
      </c>
      <c r="E479" t="s">
        <v>56</v>
      </c>
      <c r="F479">
        <v>223</v>
      </c>
      <c r="G479">
        <v>428.26</v>
      </c>
      <c r="H479">
        <v>45960</v>
      </c>
      <c r="I479">
        <v>45957</v>
      </c>
      <c r="J479" t="s">
        <v>20</v>
      </c>
      <c r="K479" t="s">
        <v>21</v>
      </c>
      <c r="L479" t="s">
        <v>33</v>
      </c>
      <c r="M479">
        <f t="shared" si="14"/>
        <v>95501.98</v>
      </c>
      <c r="N479">
        <f t="shared" si="15"/>
        <v>26</v>
      </c>
      <c r="O479" t="str">
        <f ca="1">IFERROR((G479-_xludf.XLOOKUP(D479,Articles!A:A,Articles!D:D))/_xludf.XLOOKUP(D479,Articles!A:A,Articles!D:D),"")</f>
        <v/>
      </c>
      <c r="P479" t="s">
        <v>23</v>
      </c>
    </row>
    <row r="480" spans="1:16" x14ac:dyDescent="0.3">
      <c r="A480" t="s">
        <v>606</v>
      </c>
      <c r="B480">
        <v>45982</v>
      </c>
      <c r="C480" t="s">
        <v>132</v>
      </c>
      <c r="D480" t="s">
        <v>317</v>
      </c>
      <c r="E480" t="s">
        <v>37</v>
      </c>
      <c r="F480">
        <v>139</v>
      </c>
      <c r="G480">
        <v>174.52</v>
      </c>
      <c r="H480">
        <v>46025</v>
      </c>
      <c r="I480">
        <v>46037</v>
      </c>
      <c r="J480" t="s">
        <v>20</v>
      </c>
      <c r="K480" t="s">
        <v>21</v>
      </c>
      <c r="L480" t="s">
        <v>45</v>
      </c>
      <c r="M480">
        <f t="shared" si="14"/>
        <v>24258.280000000002</v>
      </c>
      <c r="N480">
        <f t="shared" si="15"/>
        <v>55</v>
      </c>
      <c r="O480" t="str">
        <f ca="1">IFERROR((G480-_xludf.XLOOKUP(D480,Articles!A:A,Articles!D:D))/_xludf.XLOOKUP(D480,Articles!A:A,Articles!D:D),"")</f>
        <v/>
      </c>
      <c r="P480" t="s">
        <v>29</v>
      </c>
    </row>
    <row r="481" spans="1:16" x14ac:dyDescent="0.3">
      <c r="A481" t="s">
        <v>607</v>
      </c>
      <c r="B481">
        <v>46030</v>
      </c>
      <c r="C481" t="s">
        <v>608</v>
      </c>
      <c r="D481" t="s">
        <v>126</v>
      </c>
      <c r="E481" t="s">
        <v>37</v>
      </c>
      <c r="F481">
        <v>24</v>
      </c>
      <c r="G481">
        <v>291.45</v>
      </c>
      <c r="H481">
        <v>46061</v>
      </c>
      <c r="I481">
        <v>46065</v>
      </c>
      <c r="J481" t="s">
        <v>41</v>
      </c>
      <c r="K481" t="s">
        <v>21</v>
      </c>
      <c r="L481" t="s">
        <v>22</v>
      </c>
      <c r="M481">
        <f t="shared" si="14"/>
        <v>6994.7999999999993</v>
      </c>
      <c r="N481">
        <f t="shared" si="15"/>
        <v>35</v>
      </c>
      <c r="O481" t="str">
        <f ca="1">IFERROR((G481-_xludf.XLOOKUP(D481,Articles!A:A,Articles!D:D))/_xludf.XLOOKUP(D481,Articles!A:A,Articles!D:D),"")</f>
        <v/>
      </c>
      <c r="P481" t="s">
        <v>29</v>
      </c>
    </row>
    <row r="482" spans="1:16" x14ac:dyDescent="0.3">
      <c r="A482" t="s">
        <v>609</v>
      </c>
      <c r="B482">
        <v>46003</v>
      </c>
      <c r="C482" t="s">
        <v>109</v>
      </c>
      <c r="D482" t="s">
        <v>61</v>
      </c>
      <c r="E482" t="s">
        <v>27</v>
      </c>
      <c r="F482">
        <v>68</v>
      </c>
      <c r="G482">
        <v>176.54</v>
      </c>
      <c r="H482">
        <v>46047</v>
      </c>
      <c r="J482" t="s">
        <v>20</v>
      </c>
      <c r="K482" t="s">
        <v>21</v>
      </c>
      <c r="L482" t="s">
        <v>45</v>
      </c>
      <c r="M482">
        <f t="shared" si="14"/>
        <v>12004.72</v>
      </c>
      <c r="N482" t="str">
        <f t="shared" si="15"/>
        <v/>
      </c>
      <c r="O482" t="str">
        <f ca="1">IFERROR((G482-_xludf.XLOOKUP(D482,Articles!A:A,Articles!D:D))/_xludf.XLOOKUP(D482,Articles!A:A,Articles!D:D),"")</f>
        <v/>
      </c>
      <c r="P482" t="s">
        <v>29</v>
      </c>
    </row>
    <row r="483" spans="1:16" x14ac:dyDescent="0.3">
      <c r="A483" t="s">
        <v>610</v>
      </c>
      <c r="B483">
        <v>46025</v>
      </c>
      <c r="C483" t="s">
        <v>43</v>
      </c>
      <c r="D483" t="s">
        <v>51</v>
      </c>
      <c r="E483" t="s">
        <v>27</v>
      </c>
      <c r="F483">
        <v>102</v>
      </c>
      <c r="G483">
        <v>316.61</v>
      </c>
      <c r="H483">
        <v>46053</v>
      </c>
      <c r="I483">
        <v>46065</v>
      </c>
      <c r="J483" t="s">
        <v>20</v>
      </c>
      <c r="K483" t="s">
        <v>21</v>
      </c>
      <c r="L483" t="s">
        <v>28</v>
      </c>
      <c r="M483">
        <f t="shared" si="14"/>
        <v>32294.22</v>
      </c>
      <c r="N483">
        <f t="shared" si="15"/>
        <v>40</v>
      </c>
      <c r="O483" t="str">
        <f ca="1">IFERROR((G483-_xludf.XLOOKUP(D483,Articles!A:A,Articles!D:D))/_xludf.XLOOKUP(D483,Articles!A:A,Articles!D:D),"")</f>
        <v/>
      </c>
      <c r="P483" t="s">
        <v>29</v>
      </c>
    </row>
    <row r="484" spans="1:16" x14ac:dyDescent="0.3">
      <c r="A484" t="s">
        <v>611</v>
      </c>
      <c r="B484">
        <v>46099</v>
      </c>
      <c r="C484" t="s">
        <v>67</v>
      </c>
      <c r="D484" t="s">
        <v>190</v>
      </c>
      <c r="E484" t="s">
        <v>19</v>
      </c>
      <c r="F484">
        <v>111</v>
      </c>
      <c r="G484">
        <v>149.09</v>
      </c>
      <c r="H484">
        <v>46148</v>
      </c>
      <c r="I484">
        <v>46147</v>
      </c>
      <c r="J484" t="s">
        <v>41</v>
      </c>
      <c r="K484" t="s">
        <v>21</v>
      </c>
      <c r="L484" t="s">
        <v>33</v>
      </c>
      <c r="M484">
        <f t="shared" si="14"/>
        <v>16548.990000000002</v>
      </c>
      <c r="N484">
        <f t="shared" si="15"/>
        <v>48</v>
      </c>
      <c r="O484" t="str">
        <f ca="1">IFERROR((G484-_xludf.XLOOKUP(D484,Articles!A:A,Articles!D:D))/_xludf.XLOOKUP(D484,Articles!A:A,Articles!D:D),"")</f>
        <v/>
      </c>
      <c r="P484" t="s">
        <v>29</v>
      </c>
    </row>
    <row r="485" spans="1:16" x14ac:dyDescent="0.3">
      <c r="A485" t="s">
        <v>612</v>
      </c>
      <c r="B485">
        <v>45989</v>
      </c>
      <c r="C485" t="s">
        <v>85</v>
      </c>
      <c r="D485" t="s">
        <v>294</v>
      </c>
      <c r="E485" t="s">
        <v>37</v>
      </c>
      <c r="F485">
        <v>0</v>
      </c>
      <c r="G485">
        <v>435.48</v>
      </c>
      <c r="H485">
        <v>46024</v>
      </c>
      <c r="I485">
        <v>46024</v>
      </c>
      <c r="J485" t="s">
        <v>52</v>
      </c>
      <c r="K485" t="s">
        <v>21</v>
      </c>
      <c r="L485" t="s">
        <v>22</v>
      </c>
      <c r="M485">
        <f t="shared" si="14"/>
        <v>0</v>
      </c>
      <c r="N485">
        <f t="shared" si="15"/>
        <v>35</v>
      </c>
      <c r="O485" t="str">
        <f ca="1">IFERROR((G485-_xludf.XLOOKUP(D485,Articles!A:A,Articles!D:D))/_xludf.XLOOKUP(D485,Articles!A:A,Articles!D:D),"")</f>
        <v/>
      </c>
      <c r="P485" t="s">
        <v>29</v>
      </c>
    </row>
    <row r="486" spans="1:16" x14ac:dyDescent="0.3">
      <c r="A486" t="s">
        <v>613</v>
      </c>
      <c r="B486">
        <v>45912</v>
      </c>
      <c r="C486" t="s">
        <v>95</v>
      </c>
      <c r="D486" t="s">
        <v>59</v>
      </c>
      <c r="E486" t="s">
        <v>56</v>
      </c>
      <c r="F486">
        <v>237</v>
      </c>
      <c r="G486">
        <v>234.89</v>
      </c>
      <c r="H486">
        <v>45964</v>
      </c>
      <c r="I486">
        <v>45984</v>
      </c>
      <c r="J486" t="s">
        <v>41</v>
      </c>
      <c r="K486" t="s">
        <v>21</v>
      </c>
      <c r="L486" t="s">
        <v>48</v>
      </c>
      <c r="M486">
        <f t="shared" si="14"/>
        <v>55668.93</v>
      </c>
      <c r="N486">
        <f t="shared" si="15"/>
        <v>72</v>
      </c>
      <c r="O486" t="str">
        <f ca="1">IFERROR((G486-_xludf.XLOOKUP(D486,Articles!A:A,Articles!D:D))/_xludf.XLOOKUP(D486,Articles!A:A,Articles!D:D),"")</f>
        <v/>
      </c>
      <c r="P486" t="s">
        <v>29</v>
      </c>
    </row>
    <row r="487" spans="1:16" x14ac:dyDescent="0.3">
      <c r="A487" t="s">
        <v>614</v>
      </c>
      <c r="B487">
        <v>46059</v>
      </c>
      <c r="C487" t="s">
        <v>50</v>
      </c>
      <c r="D487" t="s">
        <v>61</v>
      </c>
      <c r="E487" t="s">
        <v>19</v>
      </c>
      <c r="F487">
        <v>238</v>
      </c>
      <c r="G487">
        <v>180.33</v>
      </c>
      <c r="H487">
        <v>46099</v>
      </c>
      <c r="I487">
        <v>46096</v>
      </c>
      <c r="J487" t="s">
        <v>20</v>
      </c>
      <c r="K487" t="s">
        <v>21</v>
      </c>
      <c r="L487" t="s">
        <v>45</v>
      </c>
      <c r="M487">
        <f t="shared" si="14"/>
        <v>42918.54</v>
      </c>
      <c r="N487">
        <f t="shared" si="15"/>
        <v>37</v>
      </c>
      <c r="O487" t="str">
        <f ca="1">IFERROR((G487-_xludf.XLOOKUP(D487,Articles!A:A,Articles!D:D))/_xludf.XLOOKUP(D487,Articles!A:A,Articles!D:D),"")</f>
        <v/>
      </c>
      <c r="P487" t="s">
        <v>34</v>
      </c>
    </row>
    <row r="488" spans="1:16" x14ac:dyDescent="0.3">
      <c r="A488" t="s">
        <v>615</v>
      </c>
      <c r="B488">
        <v>45985</v>
      </c>
      <c r="C488" t="s">
        <v>80</v>
      </c>
      <c r="D488" t="s">
        <v>102</v>
      </c>
      <c r="E488" t="s">
        <v>37</v>
      </c>
      <c r="F488">
        <v>54</v>
      </c>
      <c r="G488">
        <v>309.11</v>
      </c>
      <c r="H488">
        <v>46044</v>
      </c>
      <c r="I488">
        <v>46044</v>
      </c>
      <c r="J488" t="s">
        <v>20</v>
      </c>
      <c r="K488" t="s">
        <v>21</v>
      </c>
      <c r="L488" t="s">
        <v>22</v>
      </c>
      <c r="M488">
        <f t="shared" si="14"/>
        <v>16691.940000000002</v>
      </c>
      <c r="N488">
        <f t="shared" si="15"/>
        <v>59</v>
      </c>
      <c r="O488" t="str">
        <f ca="1">IFERROR((G488-_xludf.XLOOKUP(D488,Articles!A:A,Articles!D:D))/_xludf.XLOOKUP(D488,Articles!A:A,Articles!D:D),"")</f>
        <v/>
      </c>
      <c r="P488" t="s">
        <v>34</v>
      </c>
    </row>
    <row r="489" spans="1:16" x14ac:dyDescent="0.3">
      <c r="A489" t="s">
        <v>616</v>
      </c>
      <c r="B489">
        <v>45997</v>
      </c>
      <c r="C489" t="s">
        <v>80</v>
      </c>
      <c r="D489" t="s">
        <v>59</v>
      </c>
      <c r="E489" t="s">
        <v>27</v>
      </c>
      <c r="F489">
        <v>150</v>
      </c>
      <c r="G489">
        <v>240.54</v>
      </c>
      <c r="H489">
        <v>46054</v>
      </c>
      <c r="I489">
        <v>46051</v>
      </c>
      <c r="J489" t="s">
        <v>20</v>
      </c>
      <c r="K489" t="s">
        <v>21</v>
      </c>
      <c r="L489" t="s">
        <v>22</v>
      </c>
      <c r="M489">
        <f t="shared" si="14"/>
        <v>36081</v>
      </c>
      <c r="N489">
        <f t="shared" si="15"/>
        <v>54</v>
      </c>
      <c r="O489" t="str">
        <f ca="1">IFERROR((G489-_xludf.XLOOKUP(D489,Articles!A:A,Articles!D:D))/_xludf.XLOOKUP(D489,Articles!A:A,Articles!D:D),"")</f>
        <v/>
      </c>
      <c r="P489" t="s">
        <v>29</v>
      </c>
    </row>
    <row r="490" spans="1:16" x14ac:dyDescent="0.3">
      <c r="A490" t="s">
        <v>617</v>
      </c>
      <c r="B490">
        <v>46020</v>
      </c>
      <c r="C490" t="s">
        <v>132</v>
      </c>
      <c r="D490" t="s">
        <v>128</v>
      </c>
      <c r="E490" t="s">
        <v>19</v>
      </c>
      <c r="F490">
        <v>168</v>
      </c>
      <c r="G490">
        <v>494.42</v>
      </c>
      <c r="H490">
        <v>46061</v>
      </c>
      <c r="I490">
        <v>46086</v>
      </c>
      <c r="J490" t="s">
        <v>20</v>
      </c>
      <c r="K490" t="s">
        <v>21</v>
      </c>
      <c r="L490" t="s">
        <v>48</v>
      </c>
      <c r="M490">
        <f t="shared" si="14"/>
        <v>83062.559999999998</v>
      </c>
      <c r="N490">
        <f t="shared" si="15"/>
        <v>66</v>
      </c>
      <c r="O490" t="str">
        <f ca="1">IFERROR((G490-_xludf.XLOOKUP(D490,Articles!A:A,Articles!D:D))/_xludf.XLOOKUP(D490,Articles!A:A,Articles!D:D),"")</f>
        <v/>
      </c>
      <c r="P490" t="s">
        <v>29</v>
      </c>
    </row>
    <row r="491" spans="1:16" x14ac:dyDescent="0.3">
      <c r="A491" t="s">
        <v>618</v>
      </c>
      <c r="B491">
        <v>46067</v>
      </c>
      <c r="C491" t="s">
        <v>83</v>
      </c>
      <c r="D491" t="s">
        <v>209</v>
      </c>
      <c r="E491" t="s">
        <v>19</v>
      </c>
      <c r="F491">
        <v>99</v>
      </c>
      <c r="G491">
        <v>230.77</v>
      </c>
      <c r="H491">
        <v>46092</v>
      </c>
      <c r="I491">
        <v>46104</v>
      </c>
      <c r="J491" t="s">
        <v>52</v>
      </c>
      <c r="K491" t="s">
        <v>21</v>
      </c>
      <c r="L491" t="s">
        <v>45</v>
      </c>
      <c r="M491">
        <f t="shared" si="14"/>
        <v>22846.23</v>
      </c>
      <c r="N491">
        <f t="shared" si="15"/>
        <v>37</v>
      </c>
      <c r="O491" t="str">
        <f ca="1">IFERROR((G491-_xludf.XLOOKUP(D491,Articles!A:A,Articles!D:D))/_xludf.XLOOKUP(D491,Articles!A:A,Articles!D:D),"")</f>
        <v/>
      </c>
      <c r="P491" t="s">
        <v>29</v>
      </c>
    </row>
    <row r="492" spans="1:16" x14ac:dyDescent="0.3">
      <c r="A492" t="s">
        <v>619</v>
      </c>
      <c r="B492">
        <v>45923</v>
      </c>
      <c r="C492" t="s">
        <v>109</v>
      </c>
      <c r="D492" t="s">
        <v>126</v>
      </c>
      <c r="E492" t="s">
        <v>27</v>
      </c>
      <c r="F492">
        <v>0</v>
      </c>
      <c r="G492">
        <v>289.24</v>
      </c>
      <c r="H492">
        <v>45957</v>
      </c>
      <c r="I492">
        <v>45969</v>
      </c>
      <c r="J492" t="s">
        <v>62</v>
      </c>
      <c r="K492" t="s">
        <v>21</v>
      </c>
      <c r="L492" t="s">
        <v>22</v>
      </c>
      <c r="M492">
        <f t="shared" si="14"/>
        <v>0</v>
      </c>
      <c r="N492">
        <f t="shared" si="15"/>
        <v>46</v>
      </c>
      <c r="O492" t="str">
        <f ca="1">IFERROR((G492-_xludf.XLOOKUP(D492,Articles!A:A,Articles!D:D))/_xludf.XLOOKUP(D492,Articles!A:A,Articles!D:D),"")</f>
        <v/>
      </c>
      <c r="P492" t="s">
        <v>29</v>
      </c>
    </row>
    <row r="493" spans="1:16" x14ac:dyDescent="0.3">
      <c r="A493" t="s">
        <v>620</v>
      </c>
      <c r="B493">
        <v>46026</v>
      </c>
      <c r="C493" t="s">
        <v>85</v>
      </c>
      <c r="D493" t="s">
        <v>621</v>
      </c>
      <c r="E493" t="s">
        <v>19</v>
      </c>
      <c r="F493">
        <v>101</v>
      </c>
      <c r="G493">
        <v>96.74</v>
      </c>
      <c r="H493">
        <v>46067</v>
      </c>
      <c r="I493">
        <v>46069</v>
      </c>
      <c r="J493" t="s">
        <v>20</v>
      </c>
      <c r="K493" t="s">
        <v>21</v>
      </c>
      <c r="L493" t="s">
        <v>28</v>
      </c>
      <c r="M493">
        <f t="shared" si="14"/>
        <v>9770.74</v>
      </c>
      <c r="N493">
        <f t="shared" si="15"/>
        <v>43</v>
      </c>
      <c r="O493" t="str">
        <f ca="1">IFERROR((G493-_xludf.XLOOKUP(D493,Articles!A:A,Articles!D:D))/_xludf.XLOOKUP(D493,Articles!A:A,Articles!D:D),"")</f>
        <v/>
      </c>
      <c r="P493" t="s">
        <v>29</v>
      </c>
    </row>
    <row r="494" spans="1:16" x14ac:dyDescent="0.3">
      <c r="A494" t="s">
        <v>622</v>
      </c>
      <c r="B494">
        <v>46108</v>
      </c>
      <c r="C494" t="s">
        <v>67</v>
      </c>
      <c r="D494" t="s">
        <v>54</v>
      </c>
      <c r="E494" t="s">
        <v>27</v>
      </c>
      <c r="F494">
        <v>16</v>
      </c>
      <c r="G494">
        <v>265.58</v>
      </c>
      <c r="H494">
        <v>46124</v>
      </c>
      <c r="I494">
        <v>46121</v>
      </c>
      <c r="J494" t="s">
        <v>62</v>
      </c>
      <c r="K494" t="s">
        <v>21</v>
      </c>
      <c r="L494" t="s">
        <v>28</v>
      </c>
      <c r="M494">
        <f t="shared" si="14"/>
        <v>4249.28</v>
      </c>
      <c r="N494">
        <f t="shared" si="15"/>
        <v>13</v>
      </c>
      <c r="O494" t="str">
        <f ca="1">IFERROR((G494-_xludf.XLOOKUP(D494,Articles!A:A,Articles!D:D))/_xludf.XLOOKUP(D494,Articles!A:A,Articles!D:D),"")</f>
        <v/>
      </c>
      <c r="P494" t="s">
        <v>23</v>
      </c>
    </row>
    <row r="495" spans="1:16" x14ac:dyDescent="0.3">
      <c r="A495" t="s">
        <v>623</v>
      </c>
      <c r="B495">
        <v>46069</v>
      </c>
      <c r="C495" t="s">
        <v>67</v>
      </c>
      <c r="D495" t="s">
        <v>130</v>
      </c>
      <c r="E495" t="s">
        <v>27</v>
      </c>
      <c r="F495">
        <v>36</v>
      </c>
      <c r="G495">
        <v>225.95</v>
      </c>
      <c r="H495">
        <v>46098</v>
      </c>
      <c r="I495">
        <v>46110</v>
      </c>
      <c r="J495" t="s">
        <v>52</v>
      </c>
      <c r="K495" t="s">
        <v>21</v>
      </c>
      <c r="L495" t="s">
        <v>45</v>
      </c>
      <c r="M495">
        <f t="shared" si="14"/>
        <v>8134.2</v>
      </c>
      <c r="N495">
        <f t="shared" si="15"/>
        <v>41</v>
      </c>
      <c r="O495" t="str">
        <f ca="1">IFERROR((G495-_xludf.XLOOKUP(D495,Articles!A:A,Articles!D:D))/_xludf.XLOOKUP(D495,Articles!A:A,Articles!D:D),"")</f>
        <v/>
      </c>
      <c r="P495" t="s">
        <v>29</v>
      </c>
    </row>
    <row r="496" spans="1:16" x14ac:dyDescent="0.3">
      <c r="A496" t="s">
        <v>624</v>
      </c>
      <c r="B496">
        <v>45940</v>
      </c>
      <c r="C496" t="s">
        <v>75</v>
      </c>
      <c r="D496" t="s">
        <v>76</v>
      </c>
      <c r="E496" t="s">
        <v>27</v>
      </c>
      <c r="F496">
        <v>110</v>
      </c>
      <c r="G496">
        <v>206.06</v>
      </c>
      <c r="H496">
        <v>46002</v>
      </c>
      <c r="I496">
        <v>46004</v>
      </c>
      <c r="J496" t="s">
        <v>20</v>
      </c>
      <c r="K496" t="s">
        <v>21</v>
      </c>
      <c r="L496" t="s">
        <v>22</v>
      </c>
      <c r="M496">
        <f t="shared" si="14"/>
        <v>22666.6</v>
      </c>
      <c r="N496">
        <f t="shared" si="15"/>
        <v>64</v>
      </c>
      <c r="O496" t="str">
        <f ca="1">IFERROR((G496-_xludf.XLOOKUP(D496,Articles!A:A,Articles!D:D))/_xludf.XLOOKUP(D496,Articles!A:A,Articles!D:D),"")</f>
        <v/>
      </c>
      <c r="P496" t="s">
        <v>29</v>
      </c>
    </row>
    <row r="497" spans="1:16" x14ac:dyDescent="0.3">
      <c r="A497" t="s">
        <v>625</v>
      </c>
      <c r="B497">
        <v>46121</v>
      </c>
      <c r="C497" t="s">
        <v>43</v>
      </c>
      <c r="D497" t="s">
        <v>69</v>
      </c>
      <c r="E497" t="s">
        <v>27</v>
      </c>
      <c r="F497">
        <v>36</v>
      </c>
      <c r="G497">
        <v>159.49</v>
      </c>
      <c r="H497">
        <v>46182</v>
      </c>
      <c r="I497">
        <v>46182</v>
      </c>
      <c r="J497" t="s">
        <v>20</v>
      </c>
      <c r="K497" t="s">
        <v>21</v>
      </c>
      <c r="L497" t="s">
        <v>22</v>
      </c>
      <c r="M497">
        <f t="shared" si="14"/>
        <v>5741.64</v>
      </c>
      <c r="N497">
        <f t="shared" si="15"/>
        <v>61</v>
      </c>
      <c r="O497" t="str">
        <f ca="1">IFERROR((G497-_xludf.XLOOKUP(D497,Articles!A:A,Articles!D:D))/_xludf.XLOOKUP(D497,Articles!A:A,Articles!D:D),"")</f>
        <v/>
      </c>
      <c r="P497" t="s">
        <v>23</v>
      </c>
    </row>
    <row r="498" spans="1:16" x14ac:dyDescent="0.3">
      <c r="A498" t="s">
        <v>626</v>
      </c>
      <c r="B498">
        <v>45918</v>
      </c>
      <c r="C498" t="s">
        <v>85</v>
      </c>
      <c r="D498" t="s">
        <v>186</v>
      </c>
      <c r="E498" t="s">
        <v>56</v>
      </c>
      <c r="F498">
        <v>143</v>
      </c>
      <c r="G498">
        <v>159.53</v>
      </c>
      <c r="H498">
        <v>45977</v>
      </c>
      <c r="I498">
        <v>45977</v>
      </c>
      <c r="J498" t="s">
        <v>20</v>
      </c>
      <c r="K498" t="s">
        <v>21</v>
      </c>
      <c r="L498" t="s">
        <v>33</v>
      </c>
      <c r="M498">
        <f t="shared" si="14"/>
        <v>22812.79</v>
      </c>
      <c r="N498">
        <f t="shared" si="15"/>
        <v>59</v>
      </c>
      <c r="O498" t="str">
        <f ca="1">IFERROR((G498-_xludf.XLOOKUP(D498,Articles!A:A,Articles!D:D))/_xludf.XLOOKUP(D498,Articles!A:A,Articles!D:D),"")</f>
        <v/>
      </c>
      <c r="P498" t="s">
        <v>34</v>
      </c>
    </row>
    <row r="499" spans="1:16" x14ac:dyDescent="0.3">
      <c r="A499" t="s">
        <v>627</v>
      </c>
      <c r="B499">
        <v>45978</v>
      </c>
      <c r="C499" t="s">
        <v>17</v>
      </c>
      <c r="D499" t="s">
        <v>32</v>
      </c>
      <c r="E499" t="s">
        <v>27</v>
      </c>
      <c r="F499">
        <v>114</v>
      </c>
      <c r="G499">
        <v>266.38</v>
      </c>
      <c r="H499">
        <v>46010</v>
      </c>
      <c r="I499">
        <v>46033</v>
      </c>
      <c r="J499" t="s">
        <v>41</v>
      </c>
      <c r="K499" t="s">
        <v>21</v>
      </c>
      <c r="L499" t="s">
        <v>28</v>
      </c>
      <c r="M499">
        <f t="shared" si="14"/>
        <v>30367.32</v>
      </c>
      <c r="N499">
        <f t="shared" si="15"/>
        <v>55</v>
      </c>
      <c r="O499" t="str">
        <f ca="1">IFERROR((G499-_xludf.XLOOKUP(D499,Articles!A:A,Articles!D:D))/_xludf.XLOOKUP(D499,Articles!A:A,Articles!D:D),"")</f>
        <v/>
      </c>
      <c r="P499" t="s">
        <v>29</v>
      </c>
    </row>
    <row r="500" spans="1:16" x14ac:dyDescent="0.3">
      <c r="A500" t="s">
        <v>628</v>
      </c>
      <c r="B500">
        <v>46058</v>
      </c>
      <c r="C500" t="s">
        <v>114</v>
      </c>
      <c r="D500" t="s">
        <v>209</v>
      </c>
      <c r="E500" t="s">
        <v>56</v>
      </c>
      <c r="F500">
        <v>69</v>
      </c>
      <c r="G500">
        <v>350.77</v>
      </c>
      <c r="H500">
        <v>46086</v>
      </c>
      <c r="I500">
        <v>46086</v>
      </c>
      <c r="J500" t="s">
        <v>20</v>
      </c>
      <c r="K500" t="s">
        <v>21</v>
      </c>
      <c r="L500" t="s">
        <v>33</v>
      </c>
      <c r="M500">
        <f t="shared" si="14"/>
        <v>24203.129999999997</v>
      </c>
      <c r="N500">
        <f t="shared" si="15"/>
        <v>28</v>
      </c>
      <c r="O500" t="str">
        <f ca="1">IFERROR((G500-_xludf.XLOOKUP(D500,Articles!A:A,Articles!D:D))/_xludf.XLOOKUP(D500,Articles!A:A,Articles!D:D),"")</f>
        <v/>
      </c>
      <c r="P500" t="s">
        <v>29</v>
      </c>
    </row>
    <row r="501" spans="1:16" x14ac:dyDescent="0.3">
      <c r="A501" t="s">
        <v>629</v>
      </c>
      <c r="B501">
        <v>45935</v>
      </c>
      <c r="C501" t="s">
        <v>72</v>
      </c>
      <c r="D501" t="s">
        <v>73</v>
      </c>
      <c r="E501" t="s">
        <v>37</v>
      </c>
      <c r="F501">
        <v>129</v>
      </c>
      <c r="G501">
        <v>316.75</v>
      </c>
      <c r="H501">
        <v>45959</v>
      </c>
      <c r="I501">
        <v>45961</v>
      </c>
      <c r="J501" t="s">
        <v>41</v>
      </c>
      <c r="K501" t="s">
        <v>21</v>
      </c>
      <c r="L501" t="s">
        <v>28</v>
      </c>
      <c r="M501">
        <f t="shared" si="14"/>
        <v>40860.75</v>
      </c>
      <c r="N501">
        <f t="shared" si="15"/>
        <v>26</v>
      </c>
      <c r="O501" t="str">
        <f ca="1">IFERROR((G501-_xludf.XLOOKUP(D501,Articles!A:A,Articles!D:D))/_xludf.XLOOKUP(D501,Articles!A:A,Articles!D:D),"")</f>
        <v/>
      </c>
      <c r="P50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RowHeight="14.4" x14ac:dyDescent="0.3"/>
  <cols>
    <col min="1" max="1" width="15" customWidth="1"/>
    <col min="2" max="2" width="20" customWidth="1"/>
    <col min="3" max="3" width="14" customWidth="1"/>
    <col min="4" max="5" width="24" customWidth="1"/>
    <col min="6" max="6" width="20" customWidth="1"/>
    <col min="7" max="7" width="14" customWidth="1"/>
    <col min="8" max="8" width="12" customWidth="1"/>
    <col min="9" max="9" width="22" customWidth="1"/>
  </cols>
  <sheetData>
    <row r="1" spans="1:9" x14ac:dyDescent="0.3">
      <c r="A1" s="1" t="s">
        <v>2</v>
      </c>
      <c r="B1" s="1" t="s">
        <v>630</v>
      </c>
      <c r="C1" s="1" t="s">
        <v>631</v>
      </c>
      <c r="D1" s="2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t="s">
        <v>637</v>
      </c>
    </row>
    <row r="2" spans="1:9" x14ac:dyDescent="0.3">
      <c r="A2" t="s">
        <v>80</v>
      </c>
      <c r="B2" t="s">
        <v>748</v>
      </c>
      <c r="C2" t="s">
        <v>638</v>
      </c>
      <c r="D2" t="s">
        <v>639</v>
      </c>
      <c r="E2" t="s">
        <v>640</v>
      </c>
      <c r="F2" t="s">
        <v>641</v>
      </c>
      <c r="G2" t="s">
        <v>642</v>
      </c>
      <c r="H2">
        <v>59</v>
      </c>
      <c r="I2">
        <v>46044</v>
      </c>
    </row>
    <row r="3" spans="1:9" x14ac:dyDescent="0.3">
      <c r="A3" t="s">
        <v>132</v>
      </c>
      <c r="B3" t="s">
        <v>749</v>
      </c>
      <c r="C3" t="s">
        <v>643</v>
      </c>
      <c r="D3" t="s">
        <v>644</v>
      </c>
      <c r="E3" t="s">
        <v>640</v>
      </c>
      <c r="F3" t="s">
        <v>645</v>
      </c>
      <c r="G3" t="s">
        <v>642</v>
      </c>
      <c r="H3">
        <v>38</v>
      </c>
      <c r="I3">
        <v>46029</v>
      </c>
    </row>
    <row r="4" spans="1:9" x14ac:dyDescent="0.3">
      <c r="A4" t="s">
        <v>39</v>
      </c>
      <c r="B4" t="s">
        <v>750</v>
      </c>
      <c r="C4" t="s">
        <v>638</v>
      </c>
      <c r="D4" t="s">
        <v>646</v>
      </c>
      <c r="E4" t="s">
        <v>640</v>
      </c>
      <c r="F4" t="s">
        <v>647</v>
      </c>
      <c r="G4" t="s">
        <v>648</v>
      </c>
      <c r="H4">
        <v>29</v>
      </c>
      <c r="I4">
        <v>46068</v>
      </c>
    </row>
    <row r="5" spans="1:9" x14ac:dyDescent="0.3">
      <c r="A5" t="s">
        <v>25</v>
      </c>
      <c r="B5" t="s">
        <v>749</v>
      </c>
      <c r="C5" t="s">
        <v>638</v>
      </c>
      <c r="D5" t="s">
        <v>649</v>
      </c>
      <c r="E5" t="s">
        <v>650</v>
      </c>
      <c r="F5" t="s">
        <v>651</v>
      </c>
      <c r="G5" t="s">
        <v>642</v>
      </c>
      <c r="H5">
        <v>63</v>
      </c>
      <c r="I5">
        <v>46086</v>
      </c>
    </row>
    <row r="6" spans="1:9" x14ac:dyDescent="0.3">
      <c r="A6" t="s">
        <v>158</v>
      </c>
      <c r="B6" t="s">
        <v>751</v>
      </c>
      <c r="C6" t="s">
        <v>652</v>
      </c>
      <c r="D6" t="s">
        <v>649</v>
      </c>
      <c r="E6" t="s">
        <v>640</v>
      </c>
      <c r="F6" t="s">
        <v>645</v>
      </c>
      <c r="G6" t="s">
        <v>648</v>
      </c>
      <c r="H6">
        <v>34</v>
      </c>
      <c r="I6">
        <v>46093</v>
      </c>
    </row>
    <row r="7" spans="1:9" x14ac:dyDescent="0.3">
      <c r="A7" t="s">
        <v>87</v>
      </c>
      <c r="B7" t="s">
        <v>752</v>
      </c>
      <c r="C7" t="s">
        <v>643</v>
      </c>
      <c r="D7" t="s">
        <v>646</v>
      </c>
      <c r="E7" t="s">
        <v>640</v>
      </c>
      <c r="F7" t="s">
        <v>645</v>
      </c>
      <c r="G7" t="s">
        <v>642</v>
      </c>
      <c r="H7">
        <v>37</v>
      </c>
      <c r="I7">
        <v>46115</v>
      </c>
    </row>
    <row r="8" spans="1:9" x14ac:dyDescent="0.3">
      <c r="A8" t="s">
        <v>43</v>
      </c>
      <c r="B8" t="s">
        <v>753</v>
      </c>
      <c r="C8" t="s">
        <v>653</v>
      </c>
      <c r="D8" t="s">
        <v>646</v>
      </c>
      <c r="E8" t="s">
        <v>640</v>
      </c>
      <c r="F8" t="s">
        <v>641</v>
      </c>
      <c r="G8" t="s">
        <v>642</v>
      </c>
      <c r="H8">
        <v>55</v>
      </c>
      <c r="I8">
        <v>46024</v>
      </c>
    </row>
    <row r="9" spans="1:9" x14ac:dyDescent="0.3">
      <c r="A9" t="s">
        <v>50</v>
      </c>
      <c r="B9" t="s">
        <v>748</v>
      </c>
      <c r="C9" t="s">
        <v>638</v>
      </c>
      <c r="D9" t="s">
        <v>644</v>
      </c>
      <c r="E9" t="s">
        <v>640</v>
      </c>
      <c r="F9" t="s">
        <v>647</v>
      </c>
      <c r="G9" t="s">
        <v>642</v>
      </c>
      <c r="H9">
        <v>45</v>
      </c>
      <c r="I9">
        <v>46096</v>
      </c>
    </row>
    <row r="10" spans="1:9" x14ac:dyDescent="0.3">
      <c r="A10" t="s">
        <v>67</v>
      </c>
      <c r="B10" t="s">
        <v>749</v>
      </c>
      <c r="C10" t="s">
        <v>653</v>
      </c>
      <c r="D10" t="s">
        <v>639</v>
      </c>
      <c r="E10" t="s">
        <v>650</v>
      </c>
      <c r="F10" t="s">
        <v>651</v>
      </c>
      <c r="G10" t="s">
        <v>642</v>
      </c>
      <c r="H10">
        <v>41</v>
      </c>
      <c r="I10">
        <v>46042</v>
      </c>
    </row>
    <row r="11" spans="1:9" x14ac:dyDescent="0.3">
      <c r="A11" t="s">
        <v>83</v>
      </c>
      <c r="B11" t="s">
        <v>752</v>
      </c>
      <c r="C11" t="s">
        <v>638</v>
      </c>
      <c r="D11" t="s">
        <v>649</v>
      </c>
      <c r="E11" t="s">
        <v>640</v>
      </c>
      <c r="F11" t="s">
        <v>647</v>
      </c>
      <c r="G11" t="s">
        <v>642</v>
      </c>
      <c r="H11">
        <v>59</v>
      </c>
      <c r="I11">
        <v>46102</v>
      </c>
    </row>
    <row r="12" spans="1:9" x14ac:dyDescent="0.3">
      <c r="A12" t="s">
        <v>85</v>
      </c>
      <c r="B12" t="s">
        <v>753</v>
      </c>
      <c r="C12" t="s">
        <v>652</v>
      </c>
      <c r="D12" t="s">
        <v>639</v>
      </c>
      <c r="E12" t="s">
        <v>640</v>
      </c>
      <c r="F12" t="s">
        <v>645</v>
      </c>
      <c r="G12" t="s">
        <v>642</v>
      </c>
      <c r="H12">
        <v>57</v>
      </c>
      <c r="I12">
        <v>46094</v>
      </c>
    </row>
    <row r="13" spans="1:9" x14ac:dyDescent="0.3">
      <c r="A13" t="s">
        <v>64</v>
      </c>
      <c r="B13" t="s">
        <v>749</v>
      </c>
      <c r="C13" t="s">
        <v>654</v>
      </c>
      <c r="D13" t="s">
        <v>655</v>
      </c>
      <c r="E13" t="s">
        <v>640</v>
      </c>
      <c r="F13" t="s">
        <v>641</v>
      </c>
      <c r="G13" t="s">
        <v>648</v>
      </c>
      <c r="H13">
        <v>16</v>
      </c>
      <c r="I13">
        <v>46125</v>
      </c>
    </row>
    <row r="14" spans="1:9" x14ac:dyDescent="0.3">
      <c r="A14" t="s">
        <v>31</v>
      </c>
      <c r="B14" t="s">
        <v>748</v>
      </c>
      <c r="C14" t="s">
        <v>653</v>
      </c>
      <c r="D14" t="s">
        <v>639</v>
      </c>
      <c r="E14" t="s">
        <v>640</v>
      </c>
      <c r="F14" t="s">
        <v>641</v>
      </c>
      <c r="G14" t="s">
        <v>656</v>
      </c>
      <c r="H14">
        <v>70</v>
      </c>
      <c r="I14">
        <v>46105</v>
      </c>
    </row>
    <row r="15" spans="1:9" x14ac:dyDescent="0.3">
      <c r="A15" t="s">
        <v>17</v>
      </c>
      <c r="B15" t="s">
        <v>750</v>
      </c>
      <c r="C15" t="s">
        <v>638</v>
      </c>
      <c r="D15" t="s">
        <v>639</v>
      </c>
      <c r="E15" t="s">
        <v>640</v>
      </c>
      <c r="F15" t="s">
        <v>647</v>
      </c>
      <c r="G15" t="s">
        <v>642</v>
      </c>
      <c r="H15">
        <v>48</v>
      </c>
      <c r="I15">
        <v>46047</v>
      </c>
    </row>
    <row r="16" spans="1:9" x14ac:dyDescent="0.3">
      <c r="A16" t="s">
        <v>95</v>
      </c>
      <c r="B16" t="s">
        <v>752</v>
      </c>
      <c r="C16" t="s">
        <v>638</v>
      </c>
      <c r="D16" t="s">
        <v>649</v>
      </c>
      <c r="E16" t="s">
        <v>650</v>
      </c>
      <c r="F16" t="s">
        <v>645</v>
      </c>
      <c r="G16" t="s">
        <v>648</v>
      </c>
      <c r="H16">
        <v>13</v>
      </c>
      <c r="I16">
        <v>46125</v>
      </c>
    </row>
    <row r="17" spans="1:9" x14ac:dyDescent="0.3">
      <c r="A17" t="s">
        <v>72</v>
      </c>
      <c r="B17" t="s">
        <v>749</v>
      </c>
      <c r="C17" t="s">
        <v>657</v>
      </c>
      <c r="D17" t="s">
        <v>644</v>
      </c>
      <c r="E17" t="s">
        <v>640</v>
      </c>
      <c r="F17" t="s">
        <v>645</v>
      </c>
      <c r="G17" t="s">
        <v>642</v>
      </c>
      <c r="H17">
        <v>52</v>
      </c>
      <c r="I17">
        <v>46106</v>
      </c>
    </row>
    <row r="18" spans="1:9" x14ac:dyDescent="0.3">
      <c r="A18" t="s">
        <v>123</v>
      </c>
      <c r="B18" t="s">
        <v>751</v>
      </c>
      <c r="C18" t="s">
        <v>638</v>
      </c>
      <c r="D18" t="s">
        <v>649</v>
      </c>
      <c r="E18" t="s">
        <v>640</v>
      </c>
      <c r="F18" t="s">
        <v>645</v>
      </c>
      <c r="G18" t="s">
        <v>642</v>
      </c>
      <c r="H18">
        <v>45</v>
      </c>
      <c r="I18">
        <v>46098</v>
      </c>
    </row>
    <row r="19" spans="1:9" x14ac:dyDescent="0.3">
      <c r="A19" t="s">
        <v>109</v>
      </c>
      <c r="B19" t="s">
        <v>750</v>
      </c>
      <c r="C19" t="s">
        <v>654</v>
      </c>
      <c r="D19" t="s">
        <v>655</v>
      </c>
      <c r="E19" t="s">
        <v>640</v>
      </c>
      <c r="F19" t="s">
        <v>641</v>
      </c>
      <c r="G19" t="s">
        <v>642</v>
      </c>
      <c r="H19">
        <v>65</v>
      </c>
      <c r="I19">
        <v>46065</v>
      </c>
    </row>
    <row r="20" spans="1:9" x14ac:dyDescent="0.3">
      <c r="A20" t="s">
        <v>75</v>
      </c>
      <c r="B20" t="s">
        <v>748</v>
      </c>
      <c r="C20" t="s">
        <v>657</v>
      </c>
      <c r="D20" t="s">
        <v>644</v>
      </c>
      <c r="E20" t="s">
        <v>650</v>
      </c>
      <c r="F20" t="s">
        <v>651</v>
      </c>
      <c r="G20" t="s">
        <v>642</v>
      </c>
      <c r="H20">
        <v>60</v>
      </c>
      <c r="I20">
        <v>46113</v>
      </c>
    </row>
    <row r="21" spans="1:9" x14ac:dyDescent="0.3">
      <c r="A21" t="s">
        <v>114</v>
      </c>
      <c r="B21" t="s">
        <v>752</v>
      </c>
      <c r="C21" t="s">
        <v>653</v>
      </c>
      <c r="D21" t="s">
        <v>639</v>
      </c>
      <c r="E21" t="s">
        <v>640</v>
      </c>
      <c r="F21" t="s">
        <v>645</v>
      </c>
      <c r="G21" t="s">
        <v>648</v>
      </c>
      <c r="H21">
        <v>21</v>
      </c>
      <c r="I21">
        <v>46072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/>
  </sheetViews>
  <sheetFormatPr defaultRowHeight="14.4" x14ac:dyDescent="0.3"/>
  <cols>
    <col min="1" max="1" width="12" customWidth="1"/>
    <col min="2" max="2" width="28" customWidth="1"/>
    <col min="3" max="3" width="18" customWidth="1"/>
    <col min="4" max="4" width="14" customWidth="1"/>
    <col min="5" max="5" width="12" customWidth="1"/>
    <col min="6" max="6" width="28" customWidth="1"/>
    <col min="7" max="7" width="20" customWidth="1"/>
    <col min="8" max="8" width="17.21875" customWidth="1"/>
  </cols>
  <sheetData>
    <row r="1" spans="1:8" x14ac:dyDescent="0.3">
      <c r="A1" s="1" t="s">
        <v>3</v>
      </c>
      <c r="B1" s="1" t="s">
        <v>658</v>
      </c>
      <c r="C1" s="1" t="s">
        <v>659</v>
      </c>
      <c r="D1" s="2" t="s">
        <v>660</v>
      </c>
      <c r="E1" s="1" t="s">
        <v>661</v>
      </c>
      <c r="F1" s="1" t="s">
        <v>662</v>
      </c>
      <c r="G1" s="1" t="s">
        <v>663</v>
      </c>
      <c r="H1" s="1" t="s">
        <v>664</v>
      </c>
    </row>
    <row r="2" spans="1:8" x14ac:dyDescent="0.3">
      <c r="A2" t="s">
        <v>65</v>
      </c>
      <c r="B2" t="s">
        <v>665</v>
      </c>
      <c r="C2" t="s">
        <v>666</v>
      </c>
      <c r="D2">
        <v>222.81</v>
      </c>
      <c r="E2" t="s">
        <v>648</v>
      </c>
      <c r="F2">
        <v>9</v>
      </c>
      <c r="G2" t="s">
        <v>667</v>
      </c>
      <c r="H2" t="s">
        <v>668</v>
      </c>
    </row>
    <row r="3" spans="1:8" x14ac:dyDescent="0.3">
      <c r="A3" t="s">
        <v>209</v>
      </c>
      <c r="B3" t="s">
        <v>669</v>
      </c>
      <c r="C3" t="s">
        <v>646</v>
      </c>
      <c r="D3">
        <v>251.01</v>
      </c>
      <c r="E3" t="s">
        <v>670</v>
      </c>
      <c r="F3">
        <v>21</v>
      </c>
      <c r="G3" t="s">
        <v>671</v>
      </c>
      <c r="H3" t="s">
        <v>668</v>
      </c>
    </row>
    <row r="4" spans="1:8" x14ac:dyDescent="0.3">
      <c r="A4" t="s">
        <v>18</v>
      </c>
      <c r="B4" t="s">
        <v>672</v>
      </c>
      <c r="C4" t="s">
        <v>673</v>
      </c>
      <c r="D4">
        <v>312.92</v>
      </c>
      <c r="E4" t="s">
        <v>670</v>
      </c>
      <c r="F4">
        <v>50</v>
      </c>
      <c r="G4" t="s">
        <v>674</v>
      </c>
      <c r="H4" t="s">
        <v>675</v>
      </c>
    </row>
    <row r="5" spans="1:8" x14ac:dyDescent="0.3">
      <c r="A5" t="s">
        <v>61</v>
      </c>
      <c r="B5" t="s">
        <v>676</v>
      </c>
      <c r="C5" t="s">
        <v>646</v>
      </c>
      <c r="D5">
        <v>201.64</v>
      </c>
      <c r="E5" t="s">
        <v>670</v>
      </c>
      <c r="F5">
        <v>38</v>
      </c>
      <c r="G5" t="s">
        <v>671</v>
      </c>
      <c r="H5" t="s">
        <v>677</v>
      </c>
    </row>
    <row r="6" spans="1:8" x14ac:dyDescent="0.3">
      <c r="A6" t="s">
        <v>190</v>
      </c>
      <c r="B6" t="s">
        <v>678</v>
      </c>
      <c r="C6" t="s">
        <v>679</v>
      </c>
      <c r="D6">
        <v>157.43</v>
      </c>
      <c r="E6" t="s">
        <v>648</v>
      </c>
      <c r="F6">
        <v>42</v>
      </c>
      <c r="G6" t="s">
        <v>667</v>
      </c>
      <c r="H6" t="s">
        <v>668</v>
      </c>
    </row>
    <row r="7" spans="1:8" x14ac:dyDescent="0.3">
      <c r="A7" t="s">
        <v>73</v>
      </c>
      <c r="B7" t="s">
        <v>680</v>
      </c>
      <c r="C7" t="s">
        <v>666</v>
      </c>
      <c r="D7">
        <v>286.95</v>
      </c>
      <c r="E7" t="s">
        <v>648</v>
      </c>
      <c r="F7">
        <v>19</v>
      </c>
      <c r="G7" t="s">
        <v>681</v>
      </c>
      <c r="H7" t="s">
        <v>677</v>
      </c>
    </row>
    <row r="8" spans="1:8" x14ac:dyDescent="0.3">
      <c r="A8" t="s">
        <v>145</v>
      </c>
      <c r="B8" t="s">
        <v>682</v>
      </c>
      <c r="C8" t="s">
        <v>683</v>
      </c>
      <c r="D8">
        <v>235.26</v>
      </c>
      <c r="E8" t="s">
        <v>648</v>
      </c>
      <c r="F8">
        <v>22</v>
      </c>
      <c r="G8" t="s">
        <v>671</v>
      </c>
      <c r="H8" t="s">
        <v>668</v>
      </c>
    </row>
    <row r="9" spans="1:8" x14ac:dyDescent="0.3">
      <c r="A9" t="s">
        <v>110</v>
      </c>
      <c r="B9" t="s">
        <v>684</v>
      </c>
      <c r="C9" t="s">
        <v>673</v>
      </c>
      <c r="D9">
        <v>421.5</v>
      </c>
      <c r="E9" t="s">
        <v>648</v>
      </c>
      <c r="F9">
        <v>41</v>
      </c>
      <c r="G9" t="s">
        <v>671</v>
      </c>
      <c r="H9" t="s">
        <v>668</v>
      </c>
    </row>
    <row r="10" spans="1:8" x14ac:dyDescent="0.3">
      <c r="A10" t="s">
        <v>206</v>
      </c>
      <c r="B10" t="s">
        <v>685</v>
      </c>
      <c r="C10" t="s">
        <v>683</v>
      </c>
      <c r="D10">
        <v>187.92</v>
      </c>
      <c r="E10" t="s">
        <v>670</v>
      </c>
      <c r="F10">
        <v>11</v>
      </c>
      <c r="G10" t="s">
        <v>681</v>
      </c>
      <c r="H10" t="s">
        <v>675</v>
      </c>
    </row>
    <row r="11" spans="1:8" x14ac:dyDescent="0.3">
      <c r="A11" t="s">
        <v>59</v>
      </c>
      <c r="B11" t="s">
        <v>686</v>
      </c>
      <c r="C11" t="s">
        <v>687</v>
      </c>
      <c r="D11">
        <v>214.42</v>
      </c>
      <c r="E11" t="s">
        <v>670</v>
      </c>
      <c r="F11">
        <v>51</v>
      </c>
      <c r="G11" t="s">
        <v>681</v>
      </c>
      <c r="H11" t="s">
        <v>677</v>
      </c>
    </row>
    <row r="12" spans="1:8" x14ac:dyDescent="0.3">
      <c r="A12" t="s">
        <v>186</v>
      </c>
      <c r="B12" t="s">
        <v>688</v>
      </c>
      <c r="C12" t="s">
        <v>666</v>
      </c>
      <c r="D12">
        <v>157.97</v>
      </c>
      <c r="E12" t="s">
        <v>670</v>
      </c>
      <c r="F12">
        <v>60</v>
      </c>
      <c r="G12" t="s">
        <v>681</v>
      </c>
      <c r="H12" t="s">
        <v>668</v>
      </c>
    </row>
    <row r="13" spans="1:8" x14ac:dyDescent="0.3">
      <c r="A13" t="s">
        <v>141</v>
      </c>
      <c r="B13" t="s">
        <v>689</v>
      </c>
      <c r="C13" t="s">
        <v>679</v>
      </c>
      <c r="D13">
        <v>206.29</v>
      </c>
      <c r="E13" t="s">
        <v>648</v>
      </c>
      <c r="F13">
        <v>32</v>
      </c>
      <c r="G13" t="s">
        <v>667</v>
      </c>
      <c r="H13" t="s">
        <v>690</v>
      </c>
    </row>
    <row r="14" spans="1:8" x14ac:dyDescent="0.3">
      <c r="A14" t="s">
        <v>294</v>
      </c>
      <c r="B14" t="s">
        <v>691</v>
      </c>
      <c r="C14" t="s">
        <v>692</v>
      </c>
      <c r="D14">
        <v>416.08</v>
      </c>
      <c r="E14" t="s">
        <v>648</v>
      </c>
      <c r="F14">
        <v>33</v>
      </c>
      <c r="G14" t="s">
        <v>681</v>
      </c>
      <c r="H14" t="s">
        <v>677</v>
      </c>
    </row>
    <row r="15" spans="1:8" x14ac:dyDescent="0.3">
      <c r="A15" t="s">
        <v>36</v>
      </c>
      <c r="B15" t="s">
        <v>693</v>
      </c>
      <c r="C15" t="s">
        <v>646</v>
      </c>
      <c r="D15">
        <v>377.52</v>
      </c>
      <c r="E15" t="s">
        <v>694</v>
      </c>
      <c r="F15">
        <v>10</v>
      </c>
      <c r="G15" t="s">
        <v>667</v>
      </c>
      <c r="H15" t="s">
        <v>668</v>
      </c>
    </row>
    <row r="16" spans="1:8" x14ac:dyDescent="0.3">
      <c r="A16" t="s">
        <v>44</v>
      </c>
      <c r="B16" t="s">
        <v>695</v>
      </c>
      <c r="C16" t="s">
        <v>692</v>
      </c>
      <c r="D16">
        <v>102.48</v>
      </c>
      <c r="E16" t="s">
        <v>670</v>
      </c>
      <c r="F16">
        <v>30</v>
      </c>
      <c r="G16" t="s">
        <v>681</v>
      </c>
      <c r="H16" t="s">
        <v>668</v>
      </c>
    </row>
    <row r="17" spans="1:8" x14ac:dyDescent="0.3">
      <c r="A17" t="s">
        <v>76</v>
      </c>
      <c r="B17" t="s">
        <v>696</v>
      </c>
      <c r="C17" t="s">
        <v>692</v>
      </c>
      <c r="D17">
        <v>180.57</v>
      </c>
      <c r="E17" t="s">
        <v>648</v>
      </c>
      <c r="F17">
        <v>55</v>
      </c>
      <c r="G17" t="s">
        <v>671</v>
      </c>
      <c r="H17" t="s">
        <v>690</v>
      </c>
    </row>
    <row r="18" spans="1:8" x14ac:dyDescent="0.3">
      <c r="A18" t="s">
        <v>239</v>
      </c>
      <c r="B18" t="s">
        <v>697</v>
      </c>
      <c r="C18" t="s">
        <v>692</v>
      </c>
      <c r="D18">
        <v>330.88</v>
      </c>
      <c r="E18" t="s">
        <v>670</v>
      </c>
      <c r="F18">
        <v>55</v>
      </c>
      <c r="G18" t="s">
        <v>671</v>
      </c>
      <c r="H18" t="s">
        <v>668</v>
      </c>
    </row>
    <row r="19" spans="1:8" x14ac:dyDescent="0.3">
      <c r="A19" t="s">
        <v>128</v>
      </c>
      <c r="B19" t="s">
        <v>698</v>
      </c>
      <c r="C19" t="s">
        <v>679</v>
      </c>
      <c r="D19">
        <v>436.17</v>
      </c>
      <c r="E19" t="s">
        <v>648</v>
      </c>
      <c r="F19">
        <v>42</v>
      </c>
      <c r="G19" t="s">
        <v>681</v>
      </c>
      <c r="H19" t="s">
        <v>690</v>
      </c>
    </row>
    <row r="20" spans="1:8" x14ac:dyDescent="0.3">
      <c r="A20" t="s">
        <v>173</v>
      </c>
      <c r="B20" t="s">
        <v>699</v>
      </c>
      <c r="C20" t="s">
        <v>666</v>
      </c>
      <c r="D20">
        <v>218.74</v>
      </c>
      <c r="E20" t="s">
        <v>648</v>
      </c>
      <c r="F20">
        <v>59</v>
      </c>
      <c r="G20" t="s">
        <v>667</v>
      </c>
      <c r="H20" t="s">
        <v>677</v>
      </c>
    </row>
    <row r="21" spans="1:8" x14ac:dyDescent="0.3">
      <c r="A21" t="s">
        <v>121</v>
      </c>
      <c r="B21" t="s">
        <v>700</v>
      </c>
      <c r="C21" t="s">
        <v>673</v>
      </c>
      <c r="D21">
        <v>90.13</v>
      </c>
      <c r="E21" t="s">
        <v>648</v>
      </c>
      <c r="F21">
        <v>43</v>
      </c>
      <c r="G21" t="s">
        <v>681</v>
      </c>
      <c r="H21" t="s">
        <v>668</v>
      </c>
    </row>
    <row r="22" spans="1:8" x14ac:dyDescent="0.3">
      <c r="A22" t="s">
        <v>26</v>
      </c>
      <c r="B22" t="s">
        <v>701</v>
      </c>
      <c r="C22" t="s">
        <v>692</v>
      </c>
      <c r="D22">
        <v>401.51</v>
      </c>
      <c r="E22" t="s">
        <v>648</v>
      </c>
      <c r="F22">
        <v>20</v>
      </c>
      <c r="G22" t="s">
        <v>681</v>
      </c>
      <c r="H22" t="s">
        <v>677</v>
      </c>
    </row>
    <row r="23" spans="1:8" x14ac:dyDescent="0.3">
      <c r="A23" t="s">
        <v>130</v>
      </c>
      <c r="B23" t="s">
        <v>702</v>
      </c>
      <c r="C23" t="s">
        <v>692</v>
      </c>
      <c r="D23">
        <v>257.83</v>
      </c>
      <c r="E23" t="s">
        <v>670</v>
      </c>
      <c r="F23">
        <v>25</v>
      </c>
      <c r="G23" t="s">
        <v>674</v>
      </c>
      <c r="H23" t="s">
        <v>668</v>
      </c>
    </row>
    <row r="24" spans="1:8" x14ac:dyDescent="0.3">
      <c r="A24" t="s">
        <v>148</v>
      </c>
      <c r="B24" t="s">
        <v>703</v>
      </c>
      <c r="C24" t="s">
        <v>646</v>
      </c>
      <c r="D24">
        <v>113.5</v>
      </c>
      <c r="E24" t="s">
        <v>670</v>
      </c>
      <c r="F24">
        <v>30</v>
      </c>
      <c r="G24" t="s">
        <v>667</v>
      </c>
      <c r="H24" t="s">
        <v>690</v>
      </c>
    </row>
    <row r="25" spans="1:8" x14ac:dyDescent="0.3">
      <c r="A25" t="s">
        <v>98</v>
      </c>
      <c r="B25" t="s">
        <v>704</v>
      </c>
      <c r="C25" t="s">
        <v>692</v>
      </c>
      <c r="D25">
        <v>340.32</v>
      </c>
      <c r="E25" t="s">
        <v>648</v>
      </c>
      <c r="F25">
        <v>9</v>
      </c>
      <c r="G25" t="s">
        <v>681</v>
      </c>
      <c r="H25" t="s">
        <v>675</v>
      </c>
    </row>
    <row r="26" spans="1:8" x14ac:dyDescent="0.3">
      <c r="A26" t="s">
        <v>202</v>
      </c>
      <c r="B26" t="s">
        <v>705</v>
      </c>
      <c r="C26" t="s">
        <v>673</v>
      </c>
      <c r="D26">
        <v>448.27</v>
      </c>
      <c r="E26" t="s">
        <v>694</v>
      </c>
      <c r="F26">
        <v>9</v>
      </c>
      <c r="G26" t="s">
        <v>667</v>
      </c>
      <c r="H26" t="s">
        <v>690</v>
      </c>
    </row>
    <row r="27" spans="1:8" x14ac:dyDescent="0.3">
      <c r="A27" t="s">
        <v>93</v>
      </c>
      <c r="B27" t="s">
        <v>706</v>
      </c>
      <c r="C27" t="s">
        <v>679</v>
      </c>
      <c r="D27">
        <v>397.34</v>
      </c>
      <c r="E27" t="s">
        <v>694</v>
      </c>
      <c r="F27">
        <v>20</v>
      </c>
      <c r="G27" t="s">
        <v>674</v>
      </c>
      <c r="H27" t="s">
        <v>690</v>
      </c>
    </row>
    <row r="28" spans="1:8" x14ac:dyDescent="0.3">
      <c r="A28" t="s">
        <v>32</v>
      </c>
      <c r="B28" t="s">
        <v>707</v>
      </c>
      <c r="C28" t="s">
        <v>679</v>
      </c>
      <c r="D28">
        <v>248.1</v>
      </c>
      <c r="E28" t="s">
        <v>670</v>
      </c>
      <c r="F28">
        <v>24</v>
      </c>
      <c r="G28" t="s">
        <v>681</v>
      </c>
      <c r="H28" t="s">
        <v>690</v>
      </c>
    </row>
    <row r="29" spans="1:8" x14ac:dyDescent="0.3">
      <c r="A29" t="s">
        <v>88</v>
      </c>
      <c r="B29" t="s">
        <v>708</v>
      </c>
      <c r="C29" t="s">
        <v>646</v>
      </c>
      <c r="D29">
        <v>396.13</v>
      </c>
      <c r="E29" t="s">
        <v>648</v>
      </c>
      <c r="F29">
        <v>21</v>
      </c>
      <c r="G29" t="s">
        <v>681</v>
      </c>
      <c r="H29" t="s">
        <v>677</v>
      </c>
    </row>
    <row r="30" spans="1:8" x14ac:dyDescent="0.3">
      <c r="A30" t="s">
        <v>150</v>
      </c>
      <c r="B30" t="s">
        <v>709</v>
      </c>
      <c r="C30" t="s">
        <v>646</v>
      </c>
      <c r="D30">
        <v>128.38</v>
      </c>
      <c r="E30" t="s">
        <v>670</v>
      </c>
      <c r="F30">
        <v>43</v>
      </c>
      <c r="G30" t="s">
        <v>667</v>
      </c>
      <c r="H30" t="s">
        <v>690</v>
      </c>
    </row>
    <row r="31" spans="1:8" x14ac:dyDescent="0.3">
      <c r="A31" t="s">
        <v>377</v>
      </c>
      <c r="B31" t="s">
        <v>710</v>
      </c>
      <c r="C31" t="s">
        <v>679</v>
      </c>
      <c r="D31">
        <v>384.99</v>
      </c>
      <c r="E31" t="s">
        <v>670</v>
      </c>
      <c r="F31">
        <v>37</v>
      </c>
      <c r="G31" t="s">
        <v>671</v>
      </c>
      <c r="H31" t="s">
        <v>690</v>
      </c>
    </row>
    <row r="32" spans="1:8" x14ac:dyDescent="0.3">
      <c r="A32" t="s">
        <v>102</v>
      </c>
      <c r="B32" t="s">
        <v>711</v>
      </c>
      <c r="C32" t="s">
        <v>683</v>
      </c>
      <c r="D32">
        <v>288.35000000000002</v>
      </c>
      <c r="E32" t="s">
        <v>648</v>
      </c>
      <c r="F32">
        <v>58</v>
      </c>
      <c r="G32" t="s">
        <v>674</v>
      </c>
      <c r="H32" t="s">
        <v>677</v>
      </c>
    </row>
    <row r="33" spans="1:8" x14ac:dyDescent="0.3">
      <c r="A33" t="s">
        <v>47</v>
      </c>
      <c r="B33" t="s">
        <v>712</v>
      </c>
      <c r="C33" t="s">
        <v>666</v>
      </c>
      <c r="D33">
        <v>65.819999999999993</v>
      </c>
      <c r="E33" t="s">
        <v>648</v>
      </c>
      <c r="F33">
        <v>21</v>
      </c>
      <c r="G33" t="s">
        <v>667</v>
      </c>
      <c r="H33" t="s">
        <v>675</v>
      </c>
    </row>
    <row r="34" spans="1:8" x14ac:dyDescent="0.3">
      <c r="A34" t="s">
        <v>54</v>
      </c>
      <c r="B34" t="s">
        <v>713</v>
      </c>
      <c r="C34" t="s">
        <v>673</v>
      </c>
      <c r="D34">
        <v>255.92</v>
      </c>
      <c r="E34" t="s">
        <v>670</v>
      </c>
      <c r="F34">
        <v>12</v>
      </c>
      <c r="G34" t="s">
        <v>681</v>
      </c>
      <c r="H34" t="s">
        <v>668</v>
      </c>
    </row>
    <row r="35" spans="1:8" x14ac:dyDescent="0.3">
      <c r="A35" t="s">
        <v>317</v>
      </c>
      <c r="B35" t="s">
        <v>714</v>
      </c>
      <c r="C35" t="s">
        <v>673</v>
      </c>
      <c r="D35">
        <v>171.19</v>
      </c>
      <c r="E35" t="s">
        <v>648</v>
      </c>
      <c r="F35">
        <v>40</v>
      </c>
      <c r="G35" t="s">
        <v>667</v>
      </c>
      <c r="H35" t="s">
        <v>675</v>
      </c>
    </row>
    <row r="36" spans="1:8" x14ac:dyDescent="0.3">
      <c r="A36" t="s">
        <v>69</v>
      </c>
      <c r="B36" t="s">
        <v>715</v>
      </c>
      <c r="C36" t="s">
        <v>679</v>
      </c>
      <c r="D36">
        <v>169.18</v>
      </c>
      <c r="E36" t="s">
        <v>648</v>
      </c>
      <c r="F36">
        <v>55</v>
      </c>
      <c r="G36" t="s">
        <v>681</v>
      </c>
      <c r="H36" t="s">
        <v>690</v>
      </c>
    </row>
    <row r="37" spans="1:8" x14ac:dyDescent="0.3">
      <c r="A37" t="s">
        <v>51</v>
      </c>
      <c r="B37" t="s">
        <v>716</v>
      </c>
      <c r="C37" t="s">
        <v>679</v>
      </c>
      <c r="D37">
        <v>302.77999999999997</v>
      </c>
      <c r="E37" t="s">
        <v>670</v>
      </c>
      <c r="F37">
        <v>27</v>
      </c>
      <c r="G37" t="s">
        <v>671</v>
      </c>
      <c r="H37" t="s">
        <v>668</v>
      </c>
    </row>
    <row r="38" spans="1:8" x14ac:dyDescent="0.3">
      <c r="A38" t="s">
        <v>112</v>
      </c>
      <c r="B38" t="s">
        <v>717</v>
      </c>
      <c r="C38" t="s">
        <v>679</v>
      </c>
      <c r="D38">
        <v>439.48</v>
      </c>
      <c r="E38" t="s">
        <v>694</v>
      </c>
      <c r="F38">
        <v>56</v>
      </c>
      <c r="G38" t="s">
        <v>667</v>
      </c>
      <c r="H38" t="s">
        <v>675</v>
      </c>
    </row>
    <row r="39" spans="1:8" x14ac:dyDescent="0.3">
      <c r="A39" t="s">
        <v>81</v>
      </c>
      <c r="B39" t="s">
        <v>718</v>
      </c>
      <c r="C39" t="s">
        <v>666</v>
      </c>
      <c r="D39">
        <v>416.62</v>
      </c>
      <c r="E39" t="s">
        <v>648</v>
      </c>
      <c r="F39">
        <v>55</v>
      </c>
      <c r="G39" t="s">
        <v>671</v>
      </c>
      <c r="H39" t="s">
        <v>668</v>
      </c>
    </row>
    <row r="40" spans="1:8" x14ac:dyDescent="0.3">
      <c r="A40" t="s">
        <v>126</v>
      </c>
      <c r="B40" t="s">
        <v>719</v>
      </c>
      <c r="C40" t="s">
        <v>687</v>
      </c>
      <c r="D40">
        <v>317.95999999999998</v>
      </c>
      <c r="E40" t="s">
        <v>648</v>
      </c>
      <c r="F40">
        <v>29</v>
      </c>
      <c r="G40" t="s">
        <v>681</v>
      </c>
      <c r="H40" t="s">
        <v>675</v>
      </c>
    </row>
    <row r="41" spans="1:8" x14ac:dyDescent="0.3">
      <c r="A41" t="s">
        <v>212</v>
      </c>
      <c r="B41" t="s">
        <v>720</v>
      </c>
      <c r="C41" t="s">
        <v>679</v>
      </c>
      <c r="D41">
        <v>413.96</v>
      </c>
      <c r="E41" t="s">
        <v>648</v>
      </c>
      <c r="F41">
        <v>27</v>
      </c>
      <c r="G41" t="s">
        <v>674</v>
      </c>
      <c r="H41" t="s">
        <v>668</v>
      </c>
    </row>
    <row r="42" spans="1:8" x14ac:dyDescent="0.3">
      <c r="A42" t="s">
        <v>100</v>
      </c>
      <c r="B42" t="s">
        <v>721</v>
      </c>
      <c r="C42" t="s">
        <v>679</v>
      </c>
      <c r="D42">
        <v>93.36</v>
      </c>
      <c r="E42" t="s">
        <v>648</v>
      </c>
      <c r="F42">
        <v>26</v>
      </c>
      <c r="G42" t="s">
        <v>674</v>
      </c>
      <c r="H42" t="s">
        <v>677</v>
      </c>
    </row>
    <row r="43" spans="1:8" x14ac:dyDescent="0.3">
      <c r="A43" t="s">
        <v>222</v>
      </c>
      <c r="B43" t="s">
        <v>722</v>
      </c>
      <c r="C43" t="s">
        <v>683</v>
      </c>
      <c r="D43">
        <v>291.52999999999997</v>
      </c>
      <c r="E43" t="s">
        <v>648</v>
      </c>
      <c r="F43">
        <v>30</v>
      </c>
      <c r="G43" t="s">
        <v>674</v>
      </c>
      <c r="H43" t="s">
        <v>677</v>
      </c>
    </row>
    <row r="44" spans="1:8" x14ac:dyDescent="0.3">
      <c r="A44" t="s">
        <v>40</v>
      </c>
      <c r="B44" t="s">
        <v>723</v>
      </c>
      <c r="C44" t="s">
        <v>666</v>
      </c>
      <c r="D44">
        <v>123.46</v>
      </c>
      <c r="E44" t="s">
        <v>694</v>
      </c>
      <c r="F44">
        <v>42</v>
      </c>
      <c r="G44" t="s">
        <v>674</v>
      </c>
      <c r="H44" t="s">
        <v>677</v>
      </c>
    </row>
    <row r="45" spans="1:8" x14ac:dyDescent="0.3">
      <c r="A45" t="s">
        <v>155</v>
      </c>
      <c r="B45" t="s">
        <v>724</v>
      </c>
      <c r="C45" t="s">
        <v>666</v>
      </c>
      <c r="D45">
        <v>160.79</v>
      </c>
      <c r="E45" t="s">
        <v>670</v>
      </c>
      <c r="F45">
        <v>55</v>
      </c>
      <c r="G45" t="s">
        <v>674</v>
      </c>
      <c r="H45" t="s">
        <v>675</v>
      </c>
    </row>
    <row r="46" spans="1:8" x14ac:dyDescent="0.3">
      <c r="A46" t="s">
        <v>78</v>
      </c>
      <c r="B46" t="s">
        <v>725</v>
      </c>
      <c r="C46" t="s">
        <v>673</v>
      </c>
      <c r="D46">
        <v>59.12</v>
      </c>
      <c r="E46" t="s">
        <v>694</v>
      </c>
      <c r="F46">
        <v>41</v>
      </c>
      <c r="G46" t="s">
        <v>667</v>
      </c>
      <c r="H46" t="s">
        <v>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1"/>
  <sheetViews>
    <sheetView workbookViewId="0"/>
  </sheetViews>
  <sheetFormatPr defaultRowHeight="14.4" x14ac:dyDescent="0.3"/>
  <cols>
    <col min="1" max="1" width="12" customWidth="1"/>
    <col min="2" max="2" width="10" customWidth="1"/>
    <col min="3" max="3" width="13" customWidth="1"/>
    <col min="4" max="5" width="14" customWidth="1"/>
    <col min="6" max="6" width="18" customWidth="1"/>
    <col min="7" max="8" width="14" customWidth="1"/>
  </cols>
  <sheetData>
    <row r="1" spans="1:8" ht="28.8" x14ac:dyDescent="0.3">
      <c r="A1" s="1" t="s">
        <v>3</v>
      </c>
      <c r="B1" s="1" t="s">
        <v>4</v>
      </c>
      <c r="C1" s="1" t="s">
        <v>726</v>
      </c>
      <c r="D1" s="2" t="s">
        <v>727</v>
      </c>
      <c r="E1" s="1" t="s">
        <v>728</v>
      </c>
      <c r="F1" s="1" t="s">
        <v>729</v>
      </c>
      <c r="G1" s="1" t="s">
        <v>730</v>
      </c>
      <c r="H1" s="1" t="s">
        <v>731</v>
      </c>
    </row>
    <row r="2" spans="1:8" x14ac:dyDescent="0.3">
      <c r="A2" t="s">
        <v>65</v>
      </c>
      <c r="B2" t="s">
        <v>37</v>
      </c>
      <c r="C2">
        <v>174</v>
      </c>
      <c r="D2">
        <v>105</v>
      </c>
      <c r="E2">
        <v>43</v>
      </c>
      <c r="F2">
        <v>45996</v>
      </c>
      <c r="G2">
        <v>38768.94</v>
      </c>
      <c r="H2" t="s">
        <v>732</v>
      </c>
    </row>
    <row r="3" spans="1:8" x14ac:dyDescent="0.3">
      <c r="A3" t="s">
        <v>65</v>
      </c>
      <c r="B3" t="s">
        <v>19</v>
      </c>
      <c r="C3">
        <v>156</v>
      </c>
      <c r="D3">
        <v>115</v>
      </c>
      <c r="E3">
        <v>37</v>
      </c>
      <c r="F3">
        <v>46047</v>
      </c>
      <c r="G3">
        <v>34758.36</v>
      </c>
      <c r="H3" t="s">
        <v>732</v>
      </c>
    </row>
    <row r="4" spans="1:8" x14ac:dyDescent="0.3">
      <c r="A4" t="s">
        <v>209</v>
      </c>
      <c r="B4" t="s">
        <v>19</v>
      </c>
      <c r="C4">
        <v>167</v>
      </c>
      <c r="D4">
        <v>50</v>
      </c>
      <c r="E4">
        <v>26</v>
      </c>
      <c r="F4">
        <v>46071</v>
      </c>
      <c r="G4">
        <v>41918.67</v>
      </c>
      <c r="H4" t="s">
        <v>732</v>
      </c>
    </row>
    <row r="5" spans="1:8" x14ac:dyDescent="0.3">
      <c r="A5" t="s">
        <v>209</v>
      </c>
      <c r="B5" t="s">
        <v>27</v>
      </c>
      <c r="C5">
        <v>86</v>
      </c>
      <c r="D5">
        <v>74</v>
      </c>
      <c r="E5">
        <v>43</v>
      </c>
      <c r="F5">
        <v>46052</v>
      </c>
      <c r="G5">
        <v>21586.86</v>
      </c>
      <c r="H5" t="s">
        <v>732</v>
      </c>
    </row>
    <row r="6" spans="1:8" x14ac:dyDescent="0.3">
      <c r="A6" t="s">
        <v>18</v>
      </c>
      <c r="B6" t="s">
        <v>56</v>
      </c>
      <c r="C6">
        <v>3</v>
      </c>
      <c r="D6">
        <v>27</v>
      </c>
      <c r="E6">
        <v>14</v>
      </c>
      <c r="F6">
        <v>46018</v>
      </c>
      <c r="G6">
        <v>938.76</v>
      </c>
      <c r="H6" t="s">
        <v>733</v>
      </c>
    </row>
    <row r="7" spans="1:8" x14ac:dyDescent="0.3">
      <c r="A7" t="s">
        <v>18</v>
      </c>
      <c r="B7" t="s">
        <v>19</v>
      </c>
      <c r="C7">
        <v>185</v>
      </c>
      <c r="D7">
        <v>114</v>
      </c>
      <c r="E7">
        <v>24</v>
      </c>
      <c r="F7">
        <v>46126</v>
      </c>
      <c r="G7">
        <v>57890.2</v>
      </c>
      <c r="H7" t="s">
        <v>732</v>
      </c>
    </row>
    <row r="8" spans="1:8" x14ac:dyDescent="0.3">
      <c r="A8" t="s">
        <v>61</v>
      </c>
      <c r="B8" t="s">
        <v>56</v>
      </c>
      <c r="C8">
        <v>15</v>
      </c>
      <c r="D8">
        <v>80</v>
      </c>
      <c r="E8">
        <v>48</v>
      </c>
      <c r="F8">
        <v>45978</v>
      </c>
      <c r="G8">
        <v>3024.6</v>
      </c>
      <c r="H8" t="s">
        <v>733</v>
      </c>
    </row>
    <row r="9" spans="1:8" x14ac:dyDescent="0.3">
      <c r="A9" t="s">
        <v>61</v>
      </c>
      <c r="B9" t="s">
        <v>37</v>
      </c>
      <c r="C9">
        <v>168</v>
      </c>
      <c r="D9">
        <v>58</v>
      </c>
      <c r="E9">
        <v>34</v>
      </c>
      <c r="F9">
        <v>46085</v>
      </c>
      <c r="G9">
        <v>33875.519999999997</v>
      </c>
      <c r="H9" t="s">
        <v>732</v>
      </c>
    </row>
    <row r="10" spans="1:8" x14ac:dyDescent="0.3">
      <c r="A10" t="s">
        <v>190</v>
      </c>
      <c r="B10" t="s">
        <v>56</v>
      </c>
      <c r="C10">
        <v>75</v>
      </c>
      <c r="D10">
        <v>72</v>
      </c>
      <c r="E10">
        <v>26</v>
      </c>
      <c r="F10">
        <v>46016</v>
      </c>
      <c r="G10">
        <v>11807.25</v>
      </c>
      <c r="H10" t="s">
        <v>732</v>
      </c>
    </row>
    <row r="11" spans="1:8" x14ac:dyDescent="0.3">
      <c r="A11" t="s">
        <v>190</v>
      </c>
      <c r="B11" t="s">
        <v>19</v>
      </c>
      <c r="C11">
        <v>109</v>
      </c>
      <c r="D11">
        <v>95</v>
      </c>
      <c r="E11">
        <v>59</v>
      </c>
      <c r="F11">
        <v>46050</v>
      </c>
      <c r="G11">
        <v>17159.87</v>
      </c>
      <c r="H11" t="s">
        <v>732</v>
      </c>
    </row>
    <row r="12" spans="1:8" x14ac:dyDescent="0.3">
      <c r="A12" t="s">
        <v>73</v>
      </c>
      <c r="B12" t="s">
        <v>19</v>
      </c>
      <c r="C12">
        <v>24</v>
      </c>
      <c r="D12">
        <v>43</v>
      </c>
      <c r="E12">
        <v>27</v>
      </c>
      <c r="F12">
        <v>46117</v>
      </c>
      <c r="G12">
        <v>6886.8</v>
      </c>
      <c r="H12" t="s">
        <v>733</v>
      </c>
    </row>
    <row r="13" spans="1:8" x14ac:dyDescent="0.3">
      <c r="A13" t="s">
        <v>73</v>
      </c>
      <c r="B13" t="s">
        <v>56</v>
      </c>
      <c r="C13">
        <v>45</v>
      </c>
      <c r="D13">
        <v>91</v>
      </c>
      <c r="E13">
        <v>26</v>
      </c>
      <c r="F13">
        <v>46081</v>
      </c>
      <c r="G13">
        <v>12912.75</v>
      </c>
      <c r="H13" t="s">
        <v>733</v>
      </c>
    </row>
    <row r="14" spans="1:8" x14ac:dyDescent="0.3">
      <c r="A14" t="s">
        <v>145</v>
      </c>
      <c r="B14" t="s">
        <v>37</v>
      </c>
      <c r="C14">
        <v>36</v>
      </c>
      <c r="D14">
        <v>150</v>
      </c>
      <c r="E14">
        <v>16</v>
      </c>
      <c r="F14">
        <v>45975</v>
      </c>
      <c r="G14">
        <v>8469.36</v>
      </c>
      <c r="H14" t="s">
        <v>733</v>
      </c>
    </row>
    <row r="15" spans="1:8" x14ac:dyDescent="0.3">
      <c r="A15" t="s">
        <v>145</v>
      </c>
      <c r="B15" t="s">
        <v>56</v>
      </c>
      <c r="C15">
        <v>-5</v>
      </c>
      <c r="D15">
        <v>52</v>
      </c>
      <c r="E15">
        <v>38</v>
      </c>
      <c r="F15">
        <v>45986</v>
      </c>
      <c r="G15">
        <v>-1176.3</v>
      </c>
      <c r="H15" t="s">
        <v>694</v>
      </c>
    </row>
    <row r="16" spans="1:8" x14ac:dyDescent="0.3">
      <c r="A16" t="s">
        <v>110</v>
      </c>
      <c r="B16" t="s">
        <v>19</v>
      </c>
      <c r="C16">
        <v>-5</v>
      </c>
      <c r="D16">
        <v>29</v>
      </c>
      <c r="E16">
        <v>41</v>
      </c>
      <c r="F16">
        <v>46033</v>
      </c>
      <c r="G16">
        <v>-2107.5</v>
      </c>
      <c r="H16" t="s">
        <v>694</v>
      </c>
    </row>
    <row r="17" spans="1:8" x14ac:dyDescent="0.3">
      <c r="A17" t="s">
        <v>110</v>
      </c>
      <c r="B17" t="s">
        <v>27</v>
      </c>
      <c r="C17">
        <v>179</v>
      </c>
      <c r="D17">
        <v>93</v>
      </c>
      <c r="E17">
        <v>19</v>
      </c>
      <c r="F17">
        <v>46132</v>
      </c>
      <c r="G17">
        <v>75448.5</v>
      </c>
      <c r="H17" t="s">
        <v>732</v>
      </c>
    </row>
    <row r="18" spans="1:8" x14ac:dyDescent="0.3">
      <c r="A18" t="s">
        <v>206</v>
      </c>
      <c r="B18" t="s">
        <v>37</v>
      </c>
      <c r="C18">
        <v>216</v>
      </c>
      <c r="D18">
        <v>136</v>
      </c>
      <c r="E18">
        <v>35</v>
      </c>
      <c r="F18">
        <v>46115</v>
      </c>
      <c r="G18">
        <v>40590.720000000001</v>
      </c>
      <c r="H18" t="s">
        <v>732</v>
      </c>
    </row>
    <row r="19" spans="1:8" x14ac:dyDescent="0.3">
      <c r="A19" t="s">
        <v>206</v>
      </c>
      <c r="B19" t="s">
        <v>27</v>
      </c>
      <c r="C19">
        <v>98</v>
      </c>
      <c r="D19">
        <v>82</v>
      </c>
      <c r="E19">
        <v>10</v>
      </c>
      <c r="F19">
        <v>46009</v>
      </c>
      <c r="G19">
        <v>18416.16</v>
      </c>
      <c r="H19" t="s">
        <v>732</v>
      </c>
    </row>
    <row r="20" spans="1:8" x14ac:dyDescent="0.3">
      <c r="A20" t="s">
        <v>59</v>
      </c>
      <c r="B20" t="s">
        <v>56</v>
      </c>
      <c r="C20">
        <v>174</v>
      </c>
      <c r="D20">
        <v>116</v>
      </c>
      <c r="E20">
        <v>31</v>
      </c>
      <c r="F20">
        <v>46109</v>
      </c>
      <c r="G20">
        <v>37309.08</v>
      </c>
      <c r="H20" t="s">
        <v>732</v>
      </c>
    </row>
    <row r="21" spans="1:8" x14ac:dyDescent="0.3">
      <c r="A21" t="s">
        <v>59</v>
      </c>
      <c r="B21" t="s">
        <v>19</v>
      </c>
      <c r="C21">
        <v>218</v>
      </c>
      <c r="D21">
        <v>118</v>
      </c>
      <c r="E21">
        <v>44</v>
      </c>
      <c r="F21">
        <v>46015</v>
      </c>
      <c r="G21">
        <v>46743.56</v>
      </c>
      <c r="H21" t="s">
        <v>732</v>
      </c>
    </row>
    <row r="22" spans="1:8" x14ac:dyDescent="0.3">
      <c r="A22" t="s">
        <v>186</v>
      </c>
      <c r="B22" t="s">
        <v>19</v>
      </c>
      <c r="C22">
        <v>49</v>
      </c>
      <c r="D22">
        <v>76</v>
      </c>
      <c r="E22">
        <v>21</v>
      </c>
      <c r="F22">
        <v>46056</v>
      </c>
      <c r="G22">
        <v>7740.53</v>
      </c>
      <c r="H22" t="s">
        <v>733</v>
      </c>
    </row>
    <row r="23" spans="1:8" x14ac:dyDescent="0.3">
      <c r="A23" t="s">
        <v>186</v>
      </c>
      <c r="B23" t="s">
        <v>37</v>
      </c>
      <c r="C23">
        <v>161</v>
      </c>
      <c r="D23">
        <v>124</v>
      </c>
      <c r="E23">
        <v>16</v>
      </c>
      <c r="F23">
        <v>46020</v>
      </c>
      <c r="G23">
        <v>25433.17</v>
      </c>
      <c r="H23" t="s">
        <v>732</v>
      </c>
    </row>
    <row r="24" spans="1:8" x14ac:dyDescent="0.3">
      <c r="A24" t="s">
        <v>141</v>
      </c>
      <c r="B24" t="s">
        <v>27</v>
      </c>
      <c r="C24">
        <v>6</v>
      </c>
      <c r="D24">
        <v>34</v>
      </c>
      <c r="E24">
        <v>22</v>
      </c>
      <c r="F24">
        <v>46007</v>
      </c>
      <c r="G24">
        <v>1237.74</v>
      </c>
      <c r="H24" t="s">
        <v>733</v>
      </c>
    </row>
    <row r="25" spans="1:8" x14ac:dyDescent="0.3">
      <c r="A25" t="s">
        <v>141</v>
      </c>
      <c r="B25" t="s">
        <v>56</v>
      </c>
      <c r="C25">
        <v>202</v>
      </c>
      <c r="D25">
        <v>124</v>
      </c>
      <c r="E25">
        <v>14</v>
      </c>
      <c r="F25">
        <v>45996</v>
      </c>
      <c r="G25">
        <v>41670.58</v>
      </c>
      <c r="H25" t="s">
        <v>732</v>
      </c>
    </row>
    <row r="26" spans="1:8" x14ac:dyDescent="0.3">
      <c r="A26" t="s">
        <v>294</v>
      </c>
      <c r="B26" t="s">
        <v>37</v>
      </c>
      <c r="C26">
        <v>14</v>
      </c>
      <c r="D26">
        <v>34</v>
      </c>
      <c r="E26">
        <v>31</v>
      </c>
      <c r="F26">
        <v>46029</v>
      </c>
      <c r="G26">
        <v>5825.12</v>
      </c>
      <c r="H26" t="s">
        <v>733</v>
      </c>
    </row>
    <row r="27" spans="1:8" x14ac:dyDescent="0.3">
      <c r="A27" t="s">
        <v>294</v>
      </c>
      <c r="B27" t="s">
        <v>56</v>
      </c>
      <c r="C27">
        <v>206</v>
      </c>
      <c r="D27">
        <v>55</v>
      </c>
      <c r="E27">
        <v>23</v>
      </c>
      <c r="F27">
        <v>45995</v>
      </c>
      <c r="G27">
        <v>85712.48</v>
      </c>
      <c r="H27" t="s">
        <v>732</v>
      </c>
    </row>
    <row r="28" spans="1:8" x14ac:dyDescent="0.3">
      <c r="A28" t="s">
        <v>36</v>
      </c>
      <c r="B28" t="s">
        <v>27</v>
      </c>
      <c r="C28">
        <v>9</v>
      </c>
      <c r="D28">
        <v>84</v>
      </c>
      <c r="E28">
        <v>14</v>
      </c>
      <c r="F28">
        <v>46128</v>
      </c>
      <c r="G28">
        <v>3397.68</v>
      </c>
      <c r="H28" t="s">
        <v>733</v>
      </c>
    </row>
    <row r="29" spans="1:8" x14ac:dyDescent="0.3">
      <c r="A29" t="s">
        <v>36</v>
      </c>
      <c r="B29" t="s">
        <v>19</v>
      </c>
      <c r="C29">
        <v>11</v>
      </c>
      <c r="D29">
        <v>145</v>
      </c>
      <c r="E29">
        <v>49</v>
      </c>
      <c r="F29">
        <v>46129</v>
      </c>
      <c r="G29">
        <v>4152.72</v>
      </c>
      <c r="H29" t="s">
        <v>733</v>
      </c>
    </row>
    <row r="30" spans="1:8" x14ac:dyDescent="0.3">
      <c r="A30" t="s">
        <v>44</v>
      </c>
      <c r="B30" t="s">
        <v>27</v>
      </c>
      <c r="C30">
        <v>210</v>
      </c>
      <c r="D30">
        <v>37</v>
      </c>
      <c r="E30">
        <v>29</v>
      </c>
      <c r="F30">
        <v>46089</v>
      </c>
      <c r="G30">
        <v>21520.799999999999</v>
      </c>
      <c r="H30" t="s">
        <v>732</v>
      </c>
    </row>
    <row r="31" spans="1:8" x14ac:dyDescent="0.3">
      <c r="A31" t="s">
        <v>44</v>
      </c>
      <c r="B31" t="s">
        <v>19</v>
      </c>
      <c r="C31">
        <v>29</v>
      </c>
      <c r="D31">
        <v>41</v>
      </c>
      <c r="E31">
        <v>16</v>
      </c>
      <c r="F31">
        <v>46076</v>
      </c>
      <c r="G31">
        <v>2971.92</v>
      </c>
      <c r="H31" t="s">
        <v>733</v>
      </c>
    </row>
    <row r="32" spans="1:8" x14ac:dyDescent="0.3">
      <c r="A32" t="s">
        <v>76</v>
      </c>
      <c r="B32" t="s">
        <v>56</v>
      </c>
      <c r="C32">
        <v>207</v>
      </c>
      <c r="D32">
        <v>134</v>
      </c>
      <c r="E32">
        <v>31</v>
      </c>
      <c r="F32">
        <v>46030</v>
      </c>
      <c r="G32">
        <v>37377.99</v>
      </c>
      <c r="H32" t="s">
        <v>732</v>
      </c>
    </row>
    <row r="33" spans="1:8" x14ac:dyDescent="0.3">
      <c r="A33" t="s">
        <v>76</v>
      </c>
      <c r="B33" t="s">
        <v>37</v>
      </c>
      <c r="C33">
        <v>249</v>
      </c>
      <c r="D33">
        <v>108</v>
      </c>
      <c r="E33">
        <v>17</v>
      </c>
      <c r="F33">
        <v>46050</v>
      </c>
      <c r="G33">
        <v>44961.93</v>
      </c>
      <c r="H33" t="s">
        <v>732</v>
      </c>
    </row>
    <row r="34" spans="1:8" x14ac:dyDescent="0.3">
      <c r="A34" t="s">
        <v>239</v>
      </c>
      <c r="B34" t="s">
        <v>27</v>
      </c>
      <c r="C34">
        <v>18</v>
      </c>
      <c r="D34">
        <v>69</v>
      </c>
      <c r="E34">
        <v>31</v>
      </c>
      <c r="F34">
        <v>46089</v>
      </c>
      <c r="G34">
        <v>5955.84</v>
      </c>
      <c r="H34" t="s">
        <v>733</v>
      </c>
    </row>
    <row r="35" spans="1:8" x14ac:dyDescent="0.3">
      <c r="A35" t="s">
        <v>239</v>
      </c>
      <c r="B35" t="s">
        <v>56</v>
      </c>
      <c r="C35">
        <v>42</v>
      </c>
      <c r="D35">
        <v>119</v>
      </c>
      <c r="E35">
        <v>45</v>
      </c>
      <c r="F35">
        <v>46122</v>
      </c>
      <c r="G35">
        <v>13896.96</v>
      </c>
      <c r="H35" t="s">
        <v>733</v>
      </c>
    </row>
    <row r="36" spans="1:8" x14ac:dyDescent="0.3">
      <c r="A36" t="s">
        <v>128</v>
      </c>
      <c r="B36" t="s">
        <v>27</v>
      </c>
      <c r="C36">
        <v>62</v>
      </c>
      <c r="D36">
        <v>121</v>
      </c>
      <c r="E36">
        <v>59</v>
      </c>
      <c r="F36">
        <v>46131</v>
      </c>
      <c r="G36">
        <v>27042.54</v>
      </c>
      <c r="H36" t="s">
        <v>733</v>
      </c>
    </row>
    <row r="37" spans="1:8" x14ac:dyDescent="0.3">
      <c r="A37" t="s">
        <v>128</v>
      </c>
      <c r="B37" t="s">
        <v>56</v>
      </c>
      <c r="C37">
        <v>180</v>
      </c>
      <c r="D37">
        <v>70</v>
      </c>
      <c r="E37">
        <v>15</v>
      </c>
      <c r="F37">
        <v>46026</v>
      </c>
      <c r="G37">
        <v>78510.600000000006</v>
      </c>
      <c r="H37" t="s">
        <v>732</v>
      </c>
    </row>
    <row r="38" spans="1:8" x14ac:dyDescent="0.3">
      <c r="A38" t="s">
        <v>173</v>
      </c>
      <c r="B38" t="s">
        <v>37</v>
      </c>
      <c r="C38">
        <v>36</v>
      </c>
      <c r="D38">
        <v>57</v>
      </c>
      <c r="E38">
        <v>23</v>
      </c>
      <c r="F38">
        <v>46027</v>
      </c>
      <c r="G38">
        <v>7874.64</v>
      </c>
      <c r="H38" t="s">
        <v>733</v>
      </c>
    </row>
    <row r="39" spans="1:8" x14ac:dyDescent="0.3">
      <c r="A39" t="s">
        <v>173</v>
      </c>
      <c r="B39" t="s">
        <v>19</v>
      </c>
      <c r="C39">
        <v>156</v>
      </c>
      <c r="D39">
        <v>86</v>
      </c>
      <c r="E39">
        <v>21</v>
      </c>
      <c r="F39">
        <v>46005</v>
      </c>
      <c r="G39">
        <v>34123.440000000002</v>
      </c>
      <c r="H39" t="s">
        <v>732</v>
      </c>
    </row>
    <row r="40" spans="1:8" x14ac:dyDescent="0.3">
      <c r="A40" t="s">
        <v>121</v>
      </c>
      <c r="B40" t="s">
        <v>56</v>
      </c>
      <c r="C40">
        <v>30</v>
      </c>
      <c r="D40">
        <v>102</v>
      </c>
      <c r="E40">
        <v>32</v>
      </c>
      <c r="F40">
        <v>45997</v>
      </c>
      <c r="G40">
        <v>2703.9</v>
      </c>
      <c r="H40" t="s">
        <v>733</v>
      </c>
    </row>
    <row r="41" spans="1:8" x14ac:dyDescent="0.3">
      <c r="A41" t="s">
        <v>121</v>
      </c>
      <c r="B41" t="s">
        <v>19</v>
      </c>
      <c r="C41">
        <v>92</v>
      </c>
      <c r="D41">
        <v>49</v>
      </c>
      <c r="E41">
        <v>49</v>
      </c>
      <c r="F41">
        <v>46003</v>
      </c>
      <c r="G41">
        <v>8291.9599999999991</v>
      </c>
      <c r="H41" t="s">
        <v>732</v>
      </c>
    </row>
    <row r="42" spans="1:8" x14ac:dyDescent="0.3">
      <c r="A42" t="s">
        <v>26</v>
      </c>
      <c r="B42" t="s">
        <v>27</v>
      </c>
      <c r="C42">
        <v>13</v>
      </c>
      <c r="D42">
        <v>78</v>
      </c>
      <c r="E42">
        <v>27</v>
      </c>
      <c r="F42">
        <v>46011</v>
      </c>
      <c r="G42">
        <v>5219.63</v>
      </c>
      <c r="H42" t="s">
        <v>733</v>
      </c>
    </row>
    <row r="43" spans="1:8" x14ac:dyDescent="0.3">
      <c r="A43" t="s">
        <v>26</v>
      </c>
      <c r="B43" t="s">
        <v>37</v>
      </c>
      <c r="C43">
        <v>-12</v>
      </c>
      <c r="D43">
        <v>152</v>
      </c>
      <c r="E43">
        <v>21</v>
      </c>
      <c r="F43">
        <v>46060</v>
      </c>
      <c r="G43">
        <v>-4818.12</v>
      </c>
      <c r="H43" t="s">
        <v>694</v>
      </c>
    </row>
    <row r="44" spans="1:8" x14ac:dyDescent="0.3">
      <c r="A44" t="s">
        <v>130</v>
      </c>
      <c r="B44" t="s">
        <v>27</v>
      </c>
      <c r="C44">
        <v>157</v>
      </c>
      <c r="D44">
        <v>89</v>
      </c>
      <c r="E44">
        <v>31</v>
      </c>
      <c r="F44">
        <v>46121</v>
      </c>
      <c r="G44">
        <v>40479.31</v>
      </c>
      <c r="H44" t="s">
        <v>732</v>
      </c>
    </row>
    <row r="45" spans="1:8" x14ac:dyDescent="0.3">
      <c r="A45" t="s">
        <v>130</v>
      </c>
      <c r="B45" t="s">
        <v>37</v>
      </c>
      <c r="C45">
        <v>13</v>
      </c>
      <c r="D45">
        <v>51</v>
      </c>
      <c r="E45">
        <v>57</v>
      </c>
      <c r="F45">
        <v>46125</v>
      </c>
      <c r="G45">
        <v>3351.79</v>
      </c>
      <c r="H45" t="s">
        <v>733</v>
      </c>
    </row>
    <row r="46" spans="1:8" x14ac:dyDescent="0.3">
      <c r="A46" t="s">
        <v>148</v>
      </c>
      <c r="B46" t="s">
        <v>37</v>
      </c>
      <c r="C46">
        <v>229</v>
      </c>
      <c r="D46">
        <v>54</v>
      </c>
      <c r="E46">
        <v>14</v>
      </c>
      <c r="F46">
        <v>45984</v>
      </c>
      <c r="G46">
        <v>25991.5</v>
      </c>
      <c r="H46" t="s">
        <v>732</v>
      </c>
    </row>
    <row r="47" spans="1:8" x14ac:dyDescent="0.3">
      <c r="A47" t="s">
        <v>148</v>
      </c>
      <c r="B47" t="s">
        <v>19</v>
      </c>
      <c r="C47">
        <v>50</v>
      </c>
      <c r="D47">
        <v>108</v>
      </c>
      <c r="E47">
        <v>36</v>
      </c>
      <c r="F47">
        <v>46074</v>
      </c>
      <c r="G47">
        <v>5675</v>
      </c>
      <c r="H47" t="s">
        <v>733</v>
      </c>
    </row>
    <row r="48" spans="1:8" x14ac:dyDescent="0.3">
      <c r="A48" t="s">
        <v>98</v>
      </c>
      <c r="B48" t="s">
        <v>56</v>
      </c>
      <c r="C48">
        <v>60</v>
      </c>
      <c r="D48">
        <v>83</v>
      </c>
      <c r="E48">
        <v>16</v>
      </c>
      <c r="F48">
        <v>46036</v>
      </c>
      <c r="G48">
        <v>20419.2</v>
      </c>
      <c r="H48" t="s">
        <v>733</v>
      </c>
    </row>
    <row r="49" spans="1:8" x14ac:dyDescent="0.3">
      <c r="A49" t="s">
        <v>98</v>
      </c>
      <c r="B49" t="s">
        <v>27</v>
      </c>
      <c r="C49">
        <v>120</v>
      </c>
      <c r="D49">
        <v>81</v>
      </c>
      <c r="E49">
        <v>14</v>
      </c>
      <c r="F49">
        <v>46021</v>
      </c>
      <c r="G49">
        <v>40838.400000000001</v>
      </c>
      <c r="H49" t="s">
        <v>732</v>
      </c>
    </row>
    <row r="50" spans="1:8" x14ac:dyDescent="0.3">
      <c r="A50" t="s">
        <v>202</v>
      </c>
      <c r="B50" t="s">
        <v>27</v>
      </c>
      <c r="C50">
        <v>99</v>
      </c>
      <c r="D50">
        <v>141</v>
      </c>
      <c r="E50">
        <v>21</v>
      </c>
      <c r="F50">
        <v>46083</v>
      </c>
      <c r="G50">
        <v>44378.73</v>
      </c>
      <c r="H50" t="s">
        <v>733</v>
      </c>
    </row>
    <row r="51" spans="1:8" x14ac:dyDescent="0.3">
      <c r="A51" t="s">
        <v>202</v>
      </c>
      <c r="B51" t="s">
        <v>56</v>
      </c>
      <c r="C51">
        <v>-5</v>
      </c>
      <c r="D51">
        <v>116</v>
      </c>
      <c r="E51">
        <v>27</v>
      </c>
      <c r="F51">
        <v>46061</v>
      </c>
      <c r="G51">
        <v>-2241.35</v>
      </c>
      <c r="H51" t="s">
        <v>694</v>
      </c>
    </row>
    <row r="52" spans="1:8" x14ac:dyDescent="0.3">
      <c r="A52" t="s">
        <v>93</v>
      </c>
      <c r="B52" t="s">
        <v>27</v>
      </c>
      <c r="C52">
        <v>87</v>
      </c>
      <c r="D52">
        <v>144</v>
      </c>
      <c r="E52">
        <v>39</v>
      </c>
      <c r="F52">
        <v>46057</v>
      </c>
      <c r="G52">
        <v>34568.58</v>
      </c>
      <c r="H52" t="s">
        <v>733</v>
      </c>
    </row>
    <row r="53" spans="1:8" x14ac:dyDescent="0.3">
      <c r="A53" t="s">
        <v>93</v>
      </c>
      <c r="B53" t="s">
        <v>56</v>
      </c>
      <c r="C53">
        <v>203</v>
      </c>
      <c r="D53">
        <v>65</v>
      </c>
      <c r="E53">
        <v>60</v>
      </c>
      <c r="F53">
        <v>46089</v>
      </c>
      <c r="G53">
        <v>80660.02</v>
      </c>
      <c r="H53" t="s">
        <v>732</v>
      </c>
    </row>
    <row r="54" spans="1:8" x14ac:dyDescent="0.3">
      <c r="A54" t="s">
        <v>32</v>
      </c>
      <c r="B54" t="s">
        <v>27</v>
      </c>
      <c r="C54">
        <v>125</v>
      </c>
      <c r="D54">
        <v>130</v>
      </c>
      <c r="E54">
        <v>43</v>
      </c>
      <c r="F54">
        <v>46011</v>
      </c>
      <c r="G54">
        <v>31012.5</v>
      </c>
      <c r="H54" t="s">
        <v>733</v>
      </c>
    </row>
    <row r="55" spans="1:8" x14ac:dyDescent="0.3">
      <c r="A55" t="s">
        <v>32</v>
      </c>
      <c r="B55" t="s">
        <v>56</v>
      </c>
      <c r="C55">
        <v>3</v>
      </c>
      <c r="D55">
        <v>143</v>
      </c>
      <c r="E55">
        <v>27</v>
      </c>
      <c r="F55">
        <v>46069</v>
      </c>
      <c r="G55">
        <v>744.3</v>
      </c>
      <c r="H55" t="s">
        <v>733</v>
      </c>
    </row>
    <row r="56" spans="1:8" x14ac:dyDescent="0.3">
      <c r="A56" t="s">
        <v>88</v>
      </c>
      <c r="B56" t="s">
        <v>27</v>
      </c>
      <c r="C56">
        <v>56</v>
      </c>
      <c r="D56">
        <v>136</v>
      </c>
      <c r="E56">
        <v>47</v>
      </c>
      <c r="F56">
        <v>46094</v>
      </c>
      <c r="G56">
        <v>22183.279999999999</v>
      </c>
      <c r="H56" t="s">
        <v>733</v>
      </c>
    </row>
    <row r="57" spans="1:8" x14ac:dyDescent="0.3">
      <c r="A57" t="s">
        <v>88</v>
      </c>
      <c r="B57" t="s">
        <v>37</v>
      </c>
      <c r="C57">
        <v>15</v>
      </c>
      <c r="D57">
        <v>26</v>
      </c>
      <c r="E57">
        <v>36</v>
      </c>
      <c r="F57">
        <v>46003</v>
      </c>
      <c r="G57">
        <v>5941.95</v>
      </c>
      <c r="H57" t="s">
        <v>733</v>
      </c>
    </row>
    <row r="58" spans="1:8" x14ac:dyDescent="0.3">
      <c r="A58" t="s">
        <v>150</v>
      </c>
      <c r="B58" t="s">
        <v>56</v>
      </c>
      <c r="C58">
        <v>122</v>
      </c>
      <c r="D58">
        <v>160</v>
      </c>
      <c r="E58">
        <v>35</v>
      </c>
      <c r="F58">
        <v>46107</v>
      </c>
      <c r="G58">
        <v>15662.36</v>
      </c>
      <c r="H58" t="s">
        <v>733</v>
      </c>
    </row>
    <row r="59" spans="1:8" x14ac:dyDescent="0.3">
      <c r="A59" t="s">
        <v>150</v>
      </c>
      <c r="B59" t="s">
        <v>27</v>
      </c>
      <c r="C59">
        <v>3</v>
      </c>
      <c r="D59">
        <v>140</v>
      </c>
      <c r="E59">
        <v>41</v>
      </c>
      <c r="F59">
        <v>46028</v>
      </c>
      <c r="G59">
        <v>385.14</v>
      </c>
      <c r="H59" t="s">
        <v>733</v>
      </c>
    </row>
    <row r="60" spans="1:8" x14ac:dyDescent="0.3">
      <c r="A60" t="s">
        <v>377</v>
      </c>
      <c r="B60" t="s">
        <v>27</v>
      </c>
      <c r="C60">
        <v>61</v>
      </c>
      <c r="D60">
        <v>116</v>
      </c>
      <c r="E60">
        <v>28</v>
      </c>
      <c r="F60">
        <v>46010</v>
      </c>
      <c r="G60">
        <v>23484.39</v>
      </c>
      <c r="H60" t="s">
        <v>733</v>
      </c>
    </row>
    <row r="61" spans="1:8" x14ac:dyDescent="0.3">
      <c r="A61" t="s">
        <v>377</v>
      </c>
      <c r="B61" t="s">
        <v>56</v>
      </c>
      <c r="C61">
        <v>180</v>
      </c>
      <c r="D61">
        <v>103</v>
      </c>
      <c r="E61">
        <v>20</v>
      </c>
      <c r="F61">
        <v>45983</v>
      </c>
      <c r="G61">
        <v>69298.2</v>
      </c>
      <c r="H61" t="s">
        <v>732</v>
      </c>
    </row>
    <row r="62" spans="1:8" x14ac:dyDescent="0.3">
      <c r="A62" t="s">
        <v>102</v>
      </c>
      <c r="B62" t="s">
        <v>56</v>
      </c>
      <c r="C62">
        <v>35</v>
      </c>
      <c r="D62">
        <v>143</v>
      </c>
      <c r="E62">
        <v>59</v>
      </c>
      <c r="F62">
        <v>46038</v>
      </c>
      <c r="G62">
        <v>10092.25</v>
      </c>
      <c r="H62" t="s">
        <v>733</v>
      </c>
    </row>
    <row r="63" spans="1:8" x14ac:dyDescent="0.3">
      <c r="A63" t="s">
        <v>102</v>
      </c>
      <c r="B63" t="s">
        <v>27</v>
      </c>
      <c r="C63">
        <v>18</v>
      </c>
      <c r="D63">
        <v>143</v>
      </c>
      <c r="E63">
        <v>55</v>
      </c>
      <c r="F63">
        <v>46047</v>
      </c>
      <c r="G63">
        <v>5190.3</v>
      </c>
      <c r="H63" t="s">
        <v>733</v>
      </c>
    </row>
    <row r="64" spans="1:8" x14ac:dyDescent="0.3">
      <c r="A64" t="s">
        <v>47</v>
      </c>
      <c r="B64" t="s">
        <v>56</v>
      </c>
      <c r="C64">
        <v>69</v>
      </c>
      <c r="D64">
        <v>134</v>
      </c>
      <c r="E64">
        <v>58</v>
      </c>
      <c r="F64">
        <v>45985</v>
      </c>
      <c r="G64">
        <v>4541.58</v>
      </c>
      <c r="H64" t="s">
        <v>733</v>
      </c>
    </row>
    <row r="65" spans="1:8" x14ac:dyDescent="0.3">
      <c r="A65" t="s">
        <v>47</v>
      </c>
      <c r="B65" t="s">
        <v>27</v>
      </c>
      <c r="C65">
        <v>42</v>
      </c>
      <c r="D65">
        <v>78</v>
      </c>
      <c r="E65">
        <v>60</v>
      </c>
      <c r="F65">
        <v>46118</v>
      </c>
      <c r="G65">
        <v>2764.44</v>
      </c>
      <c r="H65" t="s">
        <v>733</v>
      </c>
    </row>
    <row r="66" spans="1:8" x14ac:dyDescent="0.3">
      <c r="A66" t="s">
        <v>54</v>
      </c>
      <c r="B66" t="s">
        <v>19</v>
      </c>
      <c r="C66">
        <v>-12</v>
      </c>
      <c r="D66">
        <v>53</v>
      </c>
      <c r="E66">
        <v>34</v>
      </c>
      <c r="F66">
        <v>46088</v>
      </c>
      <c r="G66">
        <v>-3071.04</v>
      </c>
      <c r="H66" t="s">
        <v>694</v>
      </c>
    </row>
    <row r="67" spans="1:8" x14ac:dyDescent="0.3">
      <c r="A67" t="s">
        <v>54</v>
      </c>
      <c r="B67" t="s">
        <v>56</v>
      </c>
      <c r="C67">
        <v>181</v>
      </c>
      <c r="D67">
        <v>42</v>
      </c>
      <c r="E67">
        <v>45</v>
      </c>
      <c r="F67">
        <v>46047</v>
      </c>
      <c r="G67">
        <v>46321.52</v>
      </c>
      <c r="H67" t="s">
        <v>732</v>
      </c>
    </row>
    <row r="68" spans="1:8" x14ac:dyDescent="0.3">
      <c r="A68" t="s">
        <v>317</v>
      </c>
      <c r="B68" t="s">
        <v>27</v>
      </c>
      <c r="C68">
        <v>122</v>
      </c>
      <c r="D68">
        <v>54</v>
      </c>
      <c r="E68">
        <v>51</v>
      </c>
      <c r="F68">
        <v>46079</v>
      </c>
      <c r="G68">
        <v>20885.18</v>
      </c>
      <c r="H68" t="s">
        <v>732</v>
      </c>
    </row>
    <row r="69" spans="1:8" x14ac:dyDescent="0.3">
      <c r="A69" t="s">
        <v>317</v>
      </c>
      <c r="B69" t="s">
        <v>19</v>
      </c>
      <c r="C69">
        <v>90</v>
      </c>
      <c r="D69">
        <v>82</v>
      </c>
      <c r="E69">
        <v>30</v>
      </c>
      <c r="F69">
        <v>46024</v>
      </c>
      <c r="G69">
        <v>15407.1</v>
      </c>
      <c r="H69" t="s">
        <v>732</v>
      </c>
    </row>
    <row r="70" spans="1:8" x14ac:dyDescent="0.3">
      <c r="A70" t="s">
        <v>69</v>
      </c>
      <c r="B70" t="s">
        <v>19</v>
      </c>
      <c r="C70">
        <v>88</v>
      </c>
      <c r="D70">
        <v>41</v>
      </c>
      <c r="E70">
        <v>33</v>
      </c>
      <c r="F70">
        <v>46101</v>
      </c>
      <c r="G70">
        <v>14887.84</v>
      </c>
      <c r="H70" t="s">
        <v>732</v>
      </c>
    </row>
    <row r="71" spans="1:8" x14ac:dyDescent="0.3">
      <c r="A71" t="s">
        <v>69</v>
      </c>
      <c r="B71" t="s">
        <v>56</v>
      </c>
      <c r="C71">
        <v>136</v>
      </c>
      <c r="D71">
        <v>145</v>
      </c>
      <c r="E71">
        <v>55</v>
      </c>
      <c r="F71">
        <v>46058</v>
      </c>
      <c r="G71">
        <v>23008.48</v>
      </c>
      <c r="H71" t="s">
        <v>733</v>
      </c>
    </row>
    <row r="72" spans="1:8" x14ac:dyDescent="0.3">
      <c r="A72" t="s">
        <v>51</v>
      </c>
      <c r="B72" t="s">
        <v>37</v>
      </c>
      <c r="C72">
        <v>242</v>
      </c>
      <c r="D72">
        <v>119</v>
      </c>
      <c r="E72">
        <v>53</v>
      </c>
      <c r="F72">
        <v>46116</v>
      </c>
      <c r="G72">
        <v>73272.759999999995</v>
      </c>
      <c r="H72" t="s">
        <v>732</v>
      </c>
    </row>
    <row r="73" spans="1:8" x14ac:dyDescent="0.3">
      <c r="A73" t="s">
        <v>51</v>
      </c>
      <c r="B73" t="s">
        <v>19</v>
      </c>
      <c r="C73">
        <v>22</v>
      </c>
      <c r="D73">
        <v>73</v>
      </c>
      <c r="E73">
        <v>39</v>
      </c>
      <c r="F73">
        <v>46113</v>
      </c>
      <c r="G73">
        <v>6661.16</v>
      </c>
      <c r="H73" t="s">
        <v>733</v>
      </c>
    </row>
    <row r="74" spans="1:8" x14ac:dyDescent="0.3">
      <c r="A74" t="s">
        <v>112</v>
      </c>
      <c r="B74" t="s">
        <v>56</v>
      </c>
      <c r="C74">
        <v>19</v>
      </c>
      <c r="D74">
        <v>95</v>
      </c>
      <c r="E74">
        <v>17</v>
      </c>
      <c r="F74">
        <v>45999</v>
      </c>
      <c r="G74">
        <v>8350.1200000000008</v>
      </c>
      <c r="H74" t="s">
        <v>733</v>
      </c>
    </row>
    <row r="75" spans="1:8" x14ac:dyDescent="0.3">
      <c r="A75" t="s">
        <v>112</v>
      </c>
      <c r="B75" t="s">
        <v>37</v>
      </c>
      <c r="C75">
        <v>106</v>
      </c>
      <c r="D75">
        <v>30</v>
      </c>
      <c r="E75">
        <v>28</v>
      </c>
      <c r="F75">
        <v>46099</v>
      </c>
      <c r="G75">
        <v>46584.88</v>
      </c>
      <c r="H75" t="s">
        <v>732</v>
      </c>
    </row>
    <row r="76" spans="1:8" x14ac:dyDescent="0.3">
      <c r="A76" t="s">
        <v>81</v>
      </c>
      <c r="B76" t="s">
        <v>37</v>
      </c>
      <c r="C76">
        <v>188</v>
      </c>
      <c r="D76">
        <v>132</v>
      </c>
      <c r="E76">
        <v>38</v>
      </c>
      <c r="F76">
        <v>46116</v>
      </c>
      <c r="G76">
        <v>78324.56</v>
      </c>
      <c r="H76" t="s">
        <v>732</v>
      </c>
    </row>
    <row r="77" spans="1:8" x14ac:dyDescent="0.3">
      <c r="A77" t="s">
        <v>81</v>
      </c>
      <c r="B77" t="s">
        <v>27</v>
      </c>
      <c r="C77">
        <v>213</v>
      </c>
      <c r="D77">
        <v>30</v>
      </c>
      <c r="E77">
        <v>24</v>
      </c>
      <c r="F77">
        <v>46027</v>
      </c>
      <c r="G77">
        <v>88740.06</v>
      </c>
      <c r="H77" t="s">
        <v>732</v>
      </c>
    </row>
    <row r="78" spans="1:8" x14ac:dyDescent="0.3">
      <c r="A78" t="s">
        <v>126</v>
      </c>
      <c r="B78" t="s">
        <v>19</v>
      </c>
      <c r="C78">
        <v>151</v>
      </c>
      <c r="D78">
        <v>108</v>
      </c>
      <c r="E78">
        <v>41</v>
      </c>
      <c r="F78">
        <v>45992</v>
      </c>
      <c r="G78">
        <v>48011.96</v>
      </c>
      <c r="H78" t="s">
        <v>732</v>
      </c>
    </row>
    <row r="79" spans="1:8" x14ac:dyDescent="0.3">
      <c r="A79" t="s">
        <v>126</v>
      </c>
      <c r="B79" t="s">
        <v>37</v>
      </c>
      <c r="C79">
        <v>77</v>
      </c>
      <c r="D79">
        <v>138</v>
      </c>
      <c r="E79">
        <v>39</v>
      </c>
      <c r="F79">
        <v>46054</v>
      </c>
      <c r="G79">
        <v>24482.92</v>
      </c>
      <c r="H79" t="s">
        <v>733</v>
      </c>
    </row>
    <row r="80" spans="1:8" x14ac:dyDescent="0.3">
      <c r="A80" t="s">
        <v>212</v>
      </c>
      <c r="B80" t="s">
        <v>27</v>
      </c>
      <c r="C80">
        <v>95</v>
      </c>
      <c r="D80">
        <v>83</v>
      </c>
      <c r="E80">
        <v>40</v>
      </c>
      <c r="F80">
        <v>46120</v>
      </c>
      <c r="G80">
        <v>39326.199999999997</v>
      </c>
      <c r="H80" t="s">
        <v>732</v>
      </c>
    </row>
    <row r="81" spans="1:8" x14ac:dyDescent="0.3">
      <c r="A81" t="s">
        <v>212</v>
      </c>
      <c r="B81" t="s">
        <v>37</v>
      </c>
      <c r="C81">
        <v>72</v>
      </c>
      <c r="D81">
        <v>62</v>
      </c>
      <c r="E81">
        <v>32</v>
      </c>
      <c r="F81">
        <v>46091</v>
      </c>
      <c r="G81">
        <v>29805.119999999999</v>
      </c>
      <c r="H81" t="s">
        <v>732</v>
      </c>
    </row>
    <row r="82" spans="1:8" x14ac:dyDescent="0.3">
      <c r="A82" t="s">
        <v>100</v>
      </c>
      <c r="B82" t="s">
        <v>19</v>
      </c>
      <c r="C82">
        <v>177</v>
      </c>
      <c r="D82">
        <v>69</v>
      </c>
      <c r="E82">
        <v>55</v>
      </c>
      <c r="F82">
        <v>46091</v>
      </c>
      <c r="G82">
        <v>16524.72</v>
      </c>
      <c r="H82" t="s">
        <v>732</v>
      </c>
    </row>
    <row r="83" spans="1:8" x14ac:dyDescent="0.3">
      <c r="A83" t="s">
        <v>100</v>
      </c>
      <c r="B83" t="s">
        <v>56</v>
      </c>
      <c r="C83">
        <v>10</v>
      </c>
      <c r="D83">
        <v>85</v>
      </c>
      <c r="E83">
        <v>17</v>
      </c>
      <c r="F83">
        <v>46020</v>
      </c>
      <c r="G83">
        <v>933.6</v>
      </c>
      <c r="H83" t="s">
        <v>733</v>
      </c>
    </row>
    <row r="84" spans="1:8" x14ac:dyDescent="0.3">
      <c r="A84" t="s">
        <v>222</v>
      </c>
      <c r="B84" t="s">
        <v>19</v>
      </c>
      <c r="C84">
        <v>143</v>
      </c>
      <c r="D84">
        <v>72</v>
      </c>
      <c r="E84">
        <v>23</v>
      </c>
      <c r="F84">
        <v>46044</v>
      </c>
      <c r="G84">
        <v>41688.79</v>
      </c>
      <c r="H84" t="s">
        <v>732</v>
      </c>
    </row>
    <row r="85" spans="1:8" x14ac:dyDescent="0.3">
      <c r="A85" t="s">
        <v>222</v>
      </c>
      <c r="B85" t="s">
        <v>27</v>
      </c>
      <c r="C85">
        <v>114</v>
      </c>
      <c r="D85">
        <v>62</v>
      </c>
      <c r="E85">
        <v>33</v>
      </c>
      <c r="F85">
        <v>46055</v>
      </c>
      <c r="G85">
        <v>33234.42</v>
      </c>
      <c r="H85" t="s">
        <v>732</v>
      </c>
    </row>
    <row r="86" spans="1:8" x14ac:dyDescent="0.3">
      <c r="A86" t="s">
        <v>40</v>
      </c>
      <c r="B86" t="s">
        <v>56</v>
      </c>
      <c r="C86">
        <v>117</v>
      </c>
      <c r="D86">
        <v>128</v>
      </c>
      <c r="E86">
        <v>41</v>
      </c>
      <c r="F86">
        <v>46093</v>
      </c>
      <c r="G86">
        <v>14444.82</v>
      </c>
      <c r="H86" t="s">
        <v>733</v>
      </c>
    </row>
    <row r="87" spans="1:8" x14ac:dyDescent="0.3">
      <c r="A87" t="s">
        <v>40</v>
      </c>
      <c r="B87" t="s">
        <v>37</v>
      </c>
      <c r="C87">
        <v>139</v>
      </c>
      <c r="D87">
        <v>26</v>
      </c>
      <c r="E87">
        <v>57</v>
      </c>
      <c r="F87">
        <v>46057</v>
      </c>
      <c r="G87">
        <v>17160.939999999999</v>
      </c>
      <c r="H87" t="s">
        <v>732</v>
      </c>
    </row>
    <row r="88" spans="1:8" x14ac:dyDescent="0.3">
      <c r="A88" t="s">
        <v>155</v>
      </c>
      <c r="B88" t="s">
        <v>37</v>
      </c>
      <c r="C88">
        <v>186</v>
      </c>
      <c r="D88">
        <v>62</v>
      </c>
      <c r="E88">
        <v>46</v>
      </c>
      <c r="F88">
        <v>46104</v>
      </c>
      <c r="G88">
        <v>29906.94</v>
      </c>
      <c r="H88" t="s">
        <v>732</v>
      </c>
    </row>
    <row r="89" spans="1:8" x14ac:dyDescent="0.3">
      <c r="A89" t="s">
        <v>155</v>
      </c>
      <c r="B89" t="s">
        <v>27</v>
      </c>
      <c r="C89">
        <v>35</v>
      </c>
      <c r="D89">
        <v>147</v>
      </c>
      <c r="E89">
        <v>12</v>
      </c>
      <c r="F89">
        <v>46126</v>
      </c>
      <c r="G89">
        <v>5627.65</v>
      </c>
      <c r="H89" t="s">
        <v>733</v>
      </c>
    </row>
    <row r="90" spans="1:8" x14ac:dyDescent="0.3">
      <c r="A90" t="s">
        <v>78</v>
      </c>
      <c r="B90" t="s">
        <v>37</v>
      </c>
      <c r="C90">
        <v>7</v>
      </c>
      <c r="D90">
        <v>81</v>
      </c>
      <c r="E90">
        <v>38</v>
      </c>
      <c r="F90">
        <v>46083</v>
      </c>
      <c r="G90">
        <v>413.84</v>
      </c>
      <c r="H90" t="s">
        <v>733</v>
      </c>
    </row>
    <row r="91" spans="1:8" x14ac:dyDescent="0.3">
      <c r="A91" t="s">
        <v>78</v>
      </c>
      <c r="B91" t="s">
        <v>19</v>
      </c>
      <c r="C91">
        <v>200</v>
      </c>
      <c r="D91">
        <v>159</v>
      </c>
      <c r="E91">
        <v>24</v>
      </c>
      <c r="F91">
        <v>46127</v>
      </c>
      <c r="G91">
        <v>11824</v>
      </c>
      <c r="H91" t="s">
        <v>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4" x14ac:dyDescent="0.3"/>
  <cols>
    <col min="1" max="1" width="24" customWidth="1"/>
    <col min="2" max="2" width="90" customWidth="1"/>
  </cols>
  <sheetData>
    <row r="1" spans="1:2" x14ac:dyDescent="0.3">
      <c r="A1" s="1" t="s">
        <v>734</v>
      </c>
      <c r="B1" s="1" t="s">
        <v>735</v>
      </c>
    </row>
    <row r="2" spans="1:2" x14ac:dyDescent="0.3">
      <c r="A2" t="s">
        <v>736</v>
      </c>
      <c r="B2" t="s">
        <v>737</v>
      </c>
    </row>
    <row r="3" spans="1:2" x14ac:dyDescent="0.3">
      <c r="A3" t="s">
        <v>738</v>
      </c>
      <c r="B3" t="s">
        <v>739</v>
      </c>
    </row>
    <row r="4" spans="1:2" x14ac:dyDescent="0.3">
      <c r="A4" t="s">
        <v>740</v>
      </c>
      <c r="B4" t="s">
        <v>741</v>
      </c>
    </row>
    <row r="5" spans="1:2" x14ac:dyDescent="0.3">
      <c r="A5" t="s">
        <v>742</v>
      </c>
      <c r="B5" t="s">
        <v>743</v>
      </c>
    </row>
    <row r="6" spans="1:2" x14ac:dyDescent="0.3">
      <c r="A6" t="s">
        <v>744</v>
      </c>
      <c r="B6" t="s">
        <v>745</v>
      </c>
    </row>
    <row r="7" spans="1:2" x14ac:dyDescent="0.3">
      <c r="A7" t="s">
        <v>746</v>
      </c>
      <c r="B7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Commandes_achat</vt:lpstr>
      <vt:lpstr>Fournisseurs</vt:lpstr>
      <vt:lpstr>Articles</vt:lpstr>
      <vt:lpstr>Inventaire</vt:lpstr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Vergara Canizales</cp:lastModifiedBy>
  <dcterms:modified xsi:type="dcterms:W3CDTF">2026-05-01T19:45:25Z</dcterms:modified>
</cp:coreProperties>
</file>